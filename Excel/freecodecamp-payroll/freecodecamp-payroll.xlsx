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A69B3B8-690E-46A3-8126-DA831A967736}" xr6:coauthVersionLast="47" xr6:coauthVersionMax="47" xr10:uidLastSave="{00000000-0000-0000-0000-000000000000}"/>
  <bookViews>
    <workbookView xWindow="-110" yWindow="-110" windowWidth="19420" windowHeight="11500" xr2:uid="{EA608A6E-6A61-4886-B7CC-B594B4DF6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C12" i="1"/>
  <c r="C11" i="1"/>
  <c r="C10" i="1"/>
  <c r="C9" i="1"/>
  <c r="Y12" i="1"/>
  <c r="Y11" i="1"/>
  <c r="Y10" i="1"/>
  <c r="Y9" i="1"/>
  <c r="Y5" i="1"/>
  <c r="Y6" i="1"/>
  <c r="Y7" i="1"/>
  <c r="Y4" i="1"/>
  <c r="U11" i="1"/>
  <c r="M9" i="1"/>
  <c r="N9" i="1"/>
  <c r="O9" i="1"/>
  <c r="P9" i="1"/>
  <c r="Q9" i="1"/>
  <c r="R9" i="1"/>
  <c r="S9" i="1"/>
  <c r="T9" i="1"/>
  <c r="U9" i="1"/>
  <c r="V9" i="1"/>
  <c r="W9" i="1"/>
  <c r="M10" i="1"/>
  <c r="N10" i="1"/>
  <c r="O10" i="1"/>
  <c r="P10" i="1"/>
  <c r="Q10" i="1"/>
  <c r="R10" i="1"/>
  <c r="S10" i="1"/>
  <c r="T10" i="1"/>
  <c r="U10" i="1"/>
  <c r="V10" i="1"/>
  <c r="W10" i="1"/>
  <c r="M11" i="1"/>
  <c r="N11" i="1"/>
  <c r="O11" i="1"/>
  <c r="P11" i="1"/>
  <c r="Q11" i="1"/>
  <c r="R11" i="1"/>
  <c r="S11" i="1"/>
  <c r="T11" i="1"/>
  <c r="V11" i="1"/>
  <c r="W11" i="1"/>
  <c r="M12" i="1"/>
  <c r="N12" i="1"/>
  <c r="O12" i="1"/>
  <c r="P12" i="1"/>
  <c r="Q12" i="1"/>
  <c r="R12" i="1"/>
  <c r="S12" i="1"/>
  <c r="T12" i="1"/>
  <c r="U12" i="1"/>
  <c r="V12" i="1"/>
  <c r="W12" i="1"/>
  <c r="V6" i="1"/>
  <c r="U4" i="1"/>
  <c r="V4" i="1"/>
  <c r="W4" i="1"/>
  <c r="U5" i="1"/>
  <c r="V5" i="1"/>
  <c r="W5" i="1"/>
  <c r="U6" i="1"/>
  <c r="W6" i="1"/>
  <c r="U7" i="1"/>
  <c r="V7" i="1"/>
  <c r="W7" i="1"/>
  <c r="V3" i="1"/>
  <c r="W3" i="1"/>
  <c r="U3" i="1"/>
  <c r="T4" i="1"/>
  <c r="S7" i="1"/>
  <c r="Q7" i="1"/>
  <c r="R7" i="1"/>
  <c r="Q5" i="1"/>
  <c r="R5" i="1"/>
  <c r="S5" i="1"/>
  <c r="Q6" i="1"/>
  <c r="R6" i="1"/>
  <c r="S6" i="1"/>
  <c r="R4" i="1"/>
  <c r="S4" i="1"/>
  <c r="Q4" i="1"/>
  <c r="P4" i="1"/>
  <c r="P5" i="1"/>
  <c r="P6" i="1"/>
  <c r="P7" i="1"/>
  <c r="T7" i="1" s="1"/>
  <c r="Q3" i="1"/>
  <c r="R3" i="1" s="1"/>
  <c r="S3" i="1" s="1"/>
  <c r="M3" i="1"/>
  <c r="N3" i="1" s="1"/>
  <c r="O3" i="1" s="1"/>
  <c r="L5" i="1"/>
  <c r="N5" i="1"/>
  <c r="O5" i="1"/>
  <c r="L6" i="1"/>
  <c r="T6" i="1" s="1"/>
  <c r="N6" i="1"/>
  <c r="O6" i="1"/>
  <c r="L7" i="1"/>
  <c r="L4" i="1"/>
  <c r="I3" i="1"/>
  <c r="J3" i="1" s="1"/>
  <c r="K3" i="1" s="1"/>
  <c r="J4" i="1"/>
  <c r="N4" i="1" s="1"/>
  <c r="K4" i="1"/>
  <c r="O4" i="1" s="1"/>
  <c r="J5" i="1"/>
  <c r="K5" i="1"/>
  <c r="J6" i="1"/>
  <c r="K6" i="1"/>
  <c r="J7" i="1"/>
  <c r="N7" i="1" s="1"/>
  <c r="K7" i="1"/>
  <c r="O7" i="1" s="1"/>
  <c r="I5" i="1"/>
  <c r="M5" i="1" s="1"/>
  <c r="I6" i="1"/>
  <c r="M6" i="1" s="1"/>
  <c r="I7" i="1"/>
  <c r="M7" i="1" s="1"/>
  <c r="I4" i="1"/>
  <c r="M4" i="1" s="1"/>
  <c r="E3" i="1"/>
  <c r="F3" i="1" s="1"/>
  <c r="G3" i="1" s="1"/>
  <c r="L11" i="1" l="1"/>
  <c r="T5" i="1"/>
  <c r="L9" i="1"/>
  <c r="L10" i="1"/>
  <c r="L12" i="1"/>
</calcChain>
</file>

<file path=xl/sharedStrings.xml><?xml version="1.0" encoding="utf-8"?>
<sst xmlns="http://schemas.openxmlformats.org/spreadsheetml/2006/main" count="22" uniqueCount="22">
  <si>
    <t>Employee payrol</t>
  </si>
  <si>
    <t>Working hour</t>
  </si>
  <si>
    <t>Overtime</t>
  </si>
  <si>
    <t>Overtime/bonus$</t>
  </si>
  <si>
    <t>Name</t>
  </si>
  <si>
    <t>Surname</t>
  </si>
  <si>
    <t>Hourly wage</t>
  </si>
  <si>
    <t>Pay</t>
  </si>
  <si>
    <t>Kevn</t>
  </si>
  <si>
    <t>Devidson</t>
  </si>
  <si>
    <t>Susan</t>
  </si>
  <si>
    <t>Petrol</t>
  </si>
  <si>
    <t>Anna</t>
  </si>
  <si>
    <t>Mitson</t>
  </si>
  <si>
    <t>Zoya</t>
  </si>
  <si>
    <t>Peter</t>
  </si>
  <si>
    <t>Max</t>
  </si>
  <si>
    <t>Min</t>
  </si>
  <si>
    <t>Average</t>
  </si>
  <si>
    <t>Total</t>
  </si>
  <si>
    <t>Total pay</t>
  </si>
  <si>
    <t>Total Jan-pay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</si>
</sst>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sz val="11"/>
      <color rgb="FFC65911"/>
      <name val="Calibri"/>
    </font>
    <font>
      <sz val="11"/>
      <color rgb="FF000000"/>
      <name val="Calibri"/>
      <family val="2"/>
    </font>
    <font>
      <sz val="11"/>
      <color rgb="FFFF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family val="2"/>
      <charset val="204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8" fontId="0" fillId="0" borderId="0" xfId="0" applyNumberFormat="1"/>
    <xf numFmtId="8" fontId="2" fillId="0" borderId="0" xfId="0" applyNumberFormat="1" applyFont="1"/>
    <xf numFmtId="8" fontId="4" fillId="0" borderId="0" xfId="0" applyNumberFormat="1" applyFont="1"/>
    <xf numFmtId="16" fontId="4" fillId="2" borderId="0" xfId="0" applyNumberFormat="1" applyFont="1" applyFill="1"/>
    <xf numFmtId="0" fontId="2" fillId="2" borderId="0" xfId="0" applyFont="1" applyFill="1"/>
    <xf numFmtId="16" fontId="4" fillId="3" borderId="0" xfId="0" applyNumberFormat="1" applyFont="1" applyFill="1"/>
    <xf numFmtId="0" fontId="2" fillId="3" borderId="0" xfId="0" applyFont="1" applyFill="1"/>
    <xf numFmtId="16" fontId="4" fillId="4" borderId="0" xfId="0" applyNumberFormat="1" applyFont="1" applyFill="1"/>
    <xf numFmtId="8" fontId="2" fillId="4" borderId="0" xfId="0" applyNumberFormat="1" applyFont="1" applyFill="1"/>
    <xf numFmtId="0" fontId="5" fillId="0" borderId="0" xfId="0" applyFont="1"/>
    <xf numFmtId="16" fontId="4" fillId="5" borderId="0" xfId="0" applyNumberFormat="1" applyFont="1" applyFill="1"/>
    <xf numFmtId="8" fontId="2" fillId="5" borderId="0" xfId="0" applyNumberFormat="1" applyFont="1" applyFill="1"/>
    <xf numFmtId="16" fontId="7" fillId="6" borderId="0" xfId="0" applyNumberFormat="1" applyFont="1" applyFill="1"/>
    <xf numFmtId="8" fontId="0" fillId="6" borderId="0" xfId="0" applyNumberFormat="1" applyFill="1"/>
    <xf numFmtId="0" fontId="6" fillId="0" borderId="0" xfId="0" applyFont="1"/>
    <xf numFmtId="0" fontId="2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A666-3B58-403B-B9C7-8793E0B44DD8}">
  <dimension ref="A1:Y12"/>
  <sheetViews>
    <sheetView tabSelected="1" workbookViewId="0">
      <selection activeCell="I10" sqref="I10"/>
    </sheetView>
  </sheetViews>
  <sheetFormatPr defaultRowHeight="14.5" x14ac:dyDescent="0.35"/>
  <cols>
    <col min="4" max="4" width="9" customWidth="1"/>
    <col min="5" max="5" width="8.81640625" customWidth="1"/>
    <col min="6" max="6" width="9" customWidth="1"/>
    <col min="7" max="7" width="9.36328125" customWidth="1"/>
    <col min="25" max="25" width="10.1796875" customWidth="1"/>
  </cols>
  <sheetData>
    <row r="1" spans="1: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5" x14ac:dyDescent="0.35">
      <c r="A2" s="2"/>
      <c r="B2" s="2"/>
      <c r="C2" s="2"/>
      <c r="D2" s="3" t="s">
        <v>1</v>
      </c>
      <c r="E2" s="3"/>
      <c r="F2" s="3"/>
      <c r="G2" s="3"/>
      <c r="H2" s="3" t="s">
        <v>2</v>
      </c>
      <c r="I2" s="3"/>
      <c r="J2" s="3"/>
      <c r="K2" s="3"/>
      <c r="L2" s="3" t="s">
        <v>3</v>
      </c>
      <c r="M2" s="3"/>
      <c r="N2" s="3"/>
      <c r="O2" s="3"/>
      <c r="P2" s="14" t="s">
        <v>7</v>
      </c>
      <c r="Q2" s="2"/>
      <c r="R2" s="2"/>
      <c r="S2" s="2"/>
      <c r="T2" s="3" t="s">
        <v>20</v>
      </c>
      <c r="Y2" s="19" t="s">
        <v>21</v>
      </c>
    </row>
    <row r="3" spans="1:25" x14ac:dyDescent="0.35">
      <c r="A3" s="4" t="s">
        <v>4</v>
      </c>
      <c r="B3" s="4" t="s">
        <v>5</v>
      </c>
      <c r="C3" s="4" t="s">
        <v>6</v>
      </c>
      <c r="D3" s="8">
        <v>46023</v>
      </c>
      <c r="E3" s="8">
        <f>D3+7</f>
        <v>46030</v>
      </c>
      <c r="F3" s="8">
        <f t="shared" ref="F3:G3" si="0">E3+7</f>
        <v>46037</v>
      </c>
      <c r="G3" s="8">
        <f t="shared" si="0"/>
        <v>46044</v>
      </c>
      <c r="H3" s="10">
        <v>46023</v>
      </c>
      <c r="I3" s="10">
        <f>H3+7</f>
        <v>46030</v>
      </c>
      <c r="J3" s="10">
        <f t="shared" ref="J3:K3" si="1">I3+7</f>
        <v>46037</v>
      </c>
      <c r="K3" s="10">
        <f t="shared" si="1"/>
        <v>46044</v>
      </c>
      <c r="L3" s="12">
        <v>46023</v>
      </c>
      <c r="M3" s="12">
        <f>L3+7</f>
        <v>46030</v>
      </c>
      <c r="N3" s="12">
        <f t="shared" ref="N3:O3" si="2">M3+7</f>
        <v>46037</v>
      </c>
      <c r="O3" s="12">
        <f t="shared" si="2"/>
        <v>46044</v>
      </c>
      <c r="P3" s="15">
        <v>46023</v>
      </c>
      <c r="Q3" s="15">
        <f>P3+7</f>
        <v>46030</v>
      </c>
      <c r="R3" s="15">
        <f t="shared" ref="R3:S3" si="3">Q3+7</f>
        <v>46037</v>
      </c>
      <c r="S3" s="15">
        <f t="shared" si="3"/>
        <v>46044</v>
      </c>
      <c r="T3" s="17">
        <v>46023</v>
      </c>
      <c r="U3" s="17">
        <f>T3+7</f>
        <v>46030</v>
      </c>
      <c r="V3" s="17">
        <f t="shared" ref="V3:W3" si="4">U3+7</f>
        <v>46037</v>
      </c>
      <c r="W3" s="17">
        <f t="shared" si="4"/>
        <v>46044</v>
      </c>
    </row>
    <row r="4" spans="1:25" x14ac:dyDescent="0.35">
      <c r="A4" s="2" t="s">
        <v>8</v>
      </c>
      <c r="B4" s="2" t="s">
        <v>9</v>
      </c>
      <c r="C4" s="6">
        <v>5</v>
      </c>
      <c r="D4" s="9">
        <v>40</v>
      </c>
      <c r="E4" s="9">
        <v>39</v>
      </c>
      <c r="F4" s="9">
        <v>40</v>
      </c>
      <c r="G4" s="9">
        <v>40</v>
      </c>
      <c r="H4" s="11">
        <v>0</v>
      </c>
      <c r="I4" s="11">
        <f>IF(E4&gt;40,E4-40,0)</f>
        <v>0</v>
      </c>
      <c r="J4" s="11">
        <f t="shared" ref="J4:K7" si="5">IF(F4&gt;40,F4-40,0)</f>
        <v>0</v>
      </c>
      <c r="K4" s="11">
        <f t="shared" si="5"/>
        <v>0</v>
      </c>
      <c r="L4" s="13">
        <f>0.5*$C4*H4</f>
        <v>0</v>
      </c>
      <c r="M4" s="13">
        <f t="shared" ref="M4:O4" si="6">0.5*$C4*I4</f>
        <v>0</v>
      </c>
      <c r="N4" s="13">
        <f t="shared" si="6"/>
        <v>0</v>
      </c>
      <c r="O4" s="13">
        <f t="shared" si="6"/>
        <v>0</v>
      </c>
      <c r="P4" s="16">
        <f>$C4*D4</f>
        <v>200</v>
      </c>
      <c r="Q4" s="16">
        <f t="shared" ref="Q4" si="7">$C4*E4</f>
        <v>195</v>
      </c>
      <c r="R4" s="16">
        <f t="shared" ref="R4" si="8">$C4*F4</f>
        <v>200</v>
      </c>
      <c r="S4" s="16">
        <f t="shared" ref="S4" si="9">$C4*G4</f>
        <v>200</v>
      </c>
      <c r="T4" s="18">
        <f>P4+L4</f>
        <v>200</v>
      </c>
      <c r="U4" s="18">
        <f t="shared" ref="U4:W7" si="10">Q4+M4</f>
        <v>195</v>
      </c>
      <c r="V4" s="18">
        <f t="shared" si="10"/>
        <v>200</v>
      </c>
      <c r="W4" s="18">
        <f t="shared" si="10"/>
        <v>200</v>
      </c>
      <c r="Y4" s="5">
        <f>SUM(T4:W4)</f>
        <v>795</v>
      </c>
    </row>
    <row r="5" spans="1:25" x14ac:dyDescent="0.35">
      <c r="A5" s="2" t="s">
        <v>10</v>
      </c>
      <c r="B5" s="2" t="s">
        <v>11</v>
      </c>
      <c r="C5" s="6">
        <v>6</v>
      </c>
      <c r="D5" s="9">
        <v>39</v>
      </c>
      <c r="E5" s="9">
        <v>53</v>
      </c>
      <c r="F5" s="9">
        <v>38</v>
      </c>
      <c r="G5" s="9">
        <v>44</v>
      </c>
      <c r="H5" s="11">
        <v>0</v>
      </c>
      <c r="I5" s="11">
        <f t="shared" ref="I5:I7" si="11">IF(E5&gt;40,E5-40,0)</f>
        <v>13</v>
      </c>
      <c r="J5" s="11">
        <f t="shared" si="5"/>
        <v>0</v>
      </c>
      <c r="K5" s="11">
        <f t="shared" si="5"/>
        <v>4</v>
      </c>
      <c r="L5" s="13">
        <f t="shared" ref="L5:L7" si="12">0.5*$C5*H5</f>
        <v>0</v>
      </c>
      <c r="M5" s="13">
        <f t="shared" ref="M5:M7" si="13">0.5*$C5*I5</f>
        <v>39</v>
      </c>
      <c r="N5" s="13">
        <f t="shared" ref="N5:N7" si="14">0.5*$C5*J5</f>
        <v>0</v>
      </c>
      <c r="O5" s="13">
        <f t="shared" ref="O5:O7" si="15">0.5*$C5*K5</f>
        <v>12</v>
      </c>
      <c r="P5" s="16">
        <f t="shared" ref="P5:P7" si="16">$C5*D5</f>
        <v>234</v>
      </c>
      <c r="Q5" s="16">
        <f t="shared" ref="Q5:Q6" si="17">$C5*E5</f>
        <v>318</v>
      </c>
      <c r="R5" s="16">
        <f t="shared" ref="R5:R6" si="18">$C5*F5</f>
        <v>228</v>
      </c>
      <c r="S5" s="16">
        <f t="shared" ref="S5:S6" si="19">$C5*G5</f>
        <v>264</v>
      </c>
      <c r="T5" s="18">
        <f>P5+L5</f>
        <v>234</v>
      </c>
      <c r="U5" s="18">
        <f t="shared" si="10"/>
        <v>357</v>
      </c>
      <c r="V5" s="18">
        <f t="shared" si="10"/>
        <v>228</v>
      </c>
      <c r="W5" s="18">
        <f t="shared" si="10"/>
        <v>276</v>
      </c>
      <c r="Y5" s="5">
        <f>SUM(T5:W5)</f>
        <v>1095</v>
      </c>
    </row>
    <row r="6" spans="1:25" x14ac:dyDescent="0.35">
      <c r="A6" s="2" t="s">
        <v>12</v>
      </c>
      <c r="B6" s="2" t="s">
        <v>13</v>
      </c>
      <c r="C6" s="6">
        <v>4</v>
      </c>
      <c r="D6" s="9">
        <v>41</v>
      </c>
      <c r="E6" s="9">
        <v>42</v>
      </c>
      <c r="F6" s="9">
        <v>37</v>
      </c>
      <c r="G6" s="9">
        <v>40</v>
      </c>
      <c r="H6" s="11">
        <v>1</v>
      </c>
      <c r="I6" s="11">
        <f t="shared" si="11"/>
        <v>2</v>
      </c>
      <c r="J6" s="11">
        <f t="shared" si="5"/>
        <v>0</v>
      </c>
      <c r="K6" s="11">
        <f t="shared" si="5"/>
        <v>0</v>
      </c>
      <c r="L6" s="13">
        <f t="shared" si="12"/>
        <v>2</v>
      </c>
      <c r="M6" s="13">
        <f t="shared" si="13"/>
        <v>4</v>
      </c>
      <c r="N6" s="13">
        <f t="shared" si="14"/>
        <v>0</v>
      </c>
      <c r="O6" s="13">
        <f t="shared" si="15"/>
        <v>0</v>
      </c>
      <c r="P6" s="16">
        <f t="shared" si="16"/>
        <v>164</v>
      </c>
      <c r="Q6" s="16">
        <f t="shared" si="17"/>
        <v>168</v>
      </c>
      <c r="R6" s="16">
        <f t="shared" si="18"/>
        <v>148</v>
      </c>
      <c r="S6" s="16">
        <f t="shared" si="19"/>
        <v>160</v>
      </c>
      <c r="T6" s="18">
        <f>P6+L6</f>
        <v>166</v>
      </c>
      <c r="U6" s="18">
        <f t="shared" si="10"/>
        <v>172</v>
      </c>
      <c r="V6" s="18">
        <f>R6+N6</f>
        <v>148</v>
      </c>
      <c r="W6" s="18">
        <f t="shared" si="10"/>
        <v>160</v>
      </c>
      <c r="Y6" s="5">
        <f t="shared" ref="Y5:Y7" si="20">SUM(T6:W6)</f>
        <v>646</v>
      </c>
    </row>
    <row r="7" spans="1:25" x14ac:dyDescent="0.35">
      <c r="A7" s="2" t="s">
        <v>14</v>
      </c>
      <c r="B7" s="2" t="s">
        <v>15</v>
      </c>
      <c r="C7" s="6">
        <v>5</v>
      </c>
      <c r="D7" s="9">
        <v>42</v>
      </c>
      <c r="E7" s="9">
        <v>37</v>
      </c>
      <c r="F7" s="9">
        <v>28</v>
      </c>
      <c r="G7" s="9">
        <v>38</v>
      </c>
      <c r="H7" s="11">
        <v>2</v>
      </c>
      <c r="I7" s="11">
        <f t="shared" si="11"/>
        <v>0</v>
      </c>
      <c r="J7" s="11">
        <f t="shared" si="5"/>
        <v>0</v>
      </c>
      <c r="K7" s="11">
        <f t="shared" si="5"/>
        <v>0</v>
      </c>
      <c r="L7" s="13">
        <f t="shared" si="12"/>
        <v>5</v>
      </c>
      <c r="M7" s="13">
        <f t="shared" si="13"/>
        <v>0</v>
      </c>
      <c r="N7" s="13">
        <f t="shared" si="14"/>
        <v>0</v>
      </c>
      <c r="O7" s="13">
        <f t="shared" si="15"/>
        <v>0</v>
      </c>
      <c r="P7" s="16">
        <f t="shared" si="16"/>
        <v>210</v>
      </c>
      <c r="Q7" s="16">
        <f t="shared" ref="Q7" si="21">$C7*E7</f>
        <v>185</v>
      </c>
      <c r="R7" s="16">
        <f t="shared" ref="R7" si="22">$C7*F7</f>
        <v>140</v>
      </c>
      <c r="S7" s="16">
        <f>$C7*G7</f>
        <v>190</v>
      </c>
      <c r="T7" s="18">
        <f>P7+L7</f>
        <v>215</v>
      </c>
      <c r="U7" s="18">
        <f t="shared" si="10"/>
        <v>185</v>
      </c>
      <c r="V7" s="18">
        <f t="shared" si="10"/>
        <v>140</v>
      </c>
      <c r="W7" s="18">
        <f t="shared" si="10"/>
        <v>190</v>
      </c>
      <c r="Y7" s="5">
        <f t="shared" si="20"/>
        <v>730</v>
      </c>
    </row>
    <row r="8" spans="1:2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5" x14ac:dyDescent="0.35">
      <c r="A9" s="2" t="s">
        <v>16</v>
      </c>
      <c r="B9" s="2"/>
      <c r="C9" s="6">
        <f>MAX(C4:C7)</f>
        <v>6</v>
      </c>
      <c r="D9" s="20">
        <f t="shared" ref="D9:K9" si="23">MAX(D4:D7)</f>
        <v>42</v>
      </c>
      <c r="E9" s="20">
        <f t="shared" si="23"/>
        <v>53</v>
      </c>
      <c r="F9" s="20">
        <f t="shared" si="23"/>
        <v>40</v>
      </c>
      <c r="G9" s="20">
        <f t="shared" si="23"/>
        <v>44</v>
      </c>
      <c r="H9" s="20">
        <f t="shared" si="23"/>
        <v>2</v>
      </c>
      <c r="I9" s="20">
        <f t="shared" si="23"/>
        <v>13</v>
      </c>
      <c r="J9" s="20">
        <f t="shared" si="23"/>
        <v>0</v>
      </c>
      <c r="K9" s="20">
        <f t="shared" si="23"/>
        <v>4</v>
      </c>
      <c r="L9" s="6">
        <f>MAX(L4:L7)</f>
        <v>5</v>
      </c>
      <c r="M9" s="6">
        <f t="shared" ref="M9:W9" si="24">MAX(M4:M7)</f>
        <v>39</v>
      </c>
      <c r="N9" s="6">
        <f t="shared" si="24"/>
        <v>0</v>
      </c>
      <c r="O9" s="6">
        <f t="shared" si="24"/>
        <v>12</v>
      </c>
      <c r="P9" s="6">
        <f t="shared" si="24"/>
        <v>234</v>
      </c>
      <c r="Q9" s="6">
        <f t="shared" si="24"/>
        <v>318</v>
      </c>
      <c r="R9" s="6">
        <f t="shared" si="24"/>
        <v>228</v>
      </c>
      <c r="S9" s="6">
        <f t="shared" si="24"/>
        <v>264</v>
      </c>
      <c r="T9" s="6">
        <f t="shared" si="24"/>
        <v>234</v>
      </c>
      <c r="U9" s="6">
        <f t="shared" si="24"/>
        <v>357</v>
      </c>
      <c r="V9" s="6">
        <f t="shared" si="24"/>
        <v>228</v>
      </c>
      <c r="W9" s="6">
        <f t="shared" si="24"/>
        <v>276</v>
      </c>
      <c r="Y9" s="6">
        <f t="shared" ref="Y9" si="25">MAX(Y4:Y7)</f>
        <v>1095</v>
      </c>
    </row>
    <row r="10" spans="1:25" x14ac:dyDescent="0.35">
      <c r="A10" s="2" t="s">
        <v>17</v>
      </c>
      <c r="B10" s="2"/>
      <c r="C10" s="6">
        <f>MIN(C4:C7)</f>
        <v>4</v>
      </c>
      <c r="D10" s="20">
        <f t="shared" ref="D10:K10" si="26">MIN(D4:D7)</f>
        <v>39</v>
      </c>
      <c r="E10" s="20">
        <f t="shared" si="26"/>
        <v>37</v>
      </c>
      <c r="F10" s="20">
        <f t="shared" si="26"/>
        <v>28</v>
      </c>
      <c r="G10" s="20">
        <f t="shared" si="26"/>
        <v>38</v>
      </c>
      <c r="H10" s="20">
        <f t="shared" si="26"/>
        <v>0</v>
      </c>
      <c r="I10" s="20">
        <f t="shared" si="26"/>
        <v>0</v>
      </c>
      <c r="J10" s="20">
        <f t="shared" si="26"/>
        <v>0</v>
      </c>
      <c r="K10" s="20">
        <f t="shared" si="26"/>
        <v>0</v>
      </c>
      <c r="L10" s="6">
        <f>MIN(L4:L7)</f>
        <v>0</v>
      </c>
      <c r="M10" s="6">
        <f t="shared" ref="M10:W10" si="27">MIN(M4:M7)</f>
        <v>0</v>
      </c>
      <c r="N10" s="6">
        <f t="shared" si="27"/>
        <v>0</v>
      </c>
      <c r="O10" s="6">
        <f t="shared" si="27"/>
        <v>0</v>
      </c>
      <c r="P10" s="6">
        <f t="shared" si="27"/>
        <v>164</v>
      </c>
      <c r="Q10" s="6">
        <f t="shared" si="27"/>
        <v>168</v>
      </c>
      <c r="R10" s="6">
        <f t="shared" si="27"/>
        <v>140</v>
      </c>
      <c r="S10" s="6">
        <f t="shared" si="27"/>
        <v>160</v>
      </c>
      <c r="T10" s="6">
        <f t="shared" si="27"/>
        <v>166</v>
      </c>
      <c r="U10" s="6">
        <f t="shared" si="27"/>
        <v>172</v>
      </c>
      <c r="V10" s="6">
        <f t="shared" si="27"/>
        <v>140</v>
      </c>
      <c r="W10" s="6">
        <f t="shared" si="27"/>
        <v>160</v>
      </c>
      <c r="Y10" s="6">
        <f t="shared" ref="Y10" si="28">MIN(Y4:Y7)</f>
        <v>646</v>
      </c>
    </row>
    <row r="11" spans="1:25" x14ac:dyDescent="0.35">
      <c r="A11" s="2" t="s">
        <v>18</v>
      </c>
      <c r="B11" s="2"/>
      <c r="C11" s="6">
        <f>AVERAGE(C4:C7)</f>
        <v>5</v>
      </c>
      <c r="D11" s="20">
        <f t="shared" ref="D11:K11" si="29">AVERAGE(D4:D7)</f>
        <v>40.5</v>
      </c>
      <c r="E11" s="20">
        <f t="shared" si="29"/>
        <v>42.75</v>
      </c>
      <c r="F11" s="20">
        <f t="shared" si="29"/>
        <v>35.75</v>
      </c>
      <c r="G11" s="20">
        <f t="shared" si="29"/>
        <v>40.5</v>
      </c>
      <c r="H11" s="20">
        <f t="shared" si="29"/>
        <v>0.75</v>
      </c>
      <c r="I11" s="20">
        <f t="shared" si="29"/>
        <v>3.75</v>
      </c>
      <c r="J11" s="20">
        <f t="shared" si="29"/>
        <v>0</v>
      </c>
      <c r="K11" s="20">
        <f t="shared" si="29"/>
        <v>1</v>
      </c>
      <c r="L11" s="6">
        <f>AVERAGE(L4:L7)</f>
        <v>1.75</v>
      </c>
      <c r="M11" s="6">
        <f t="shared" ref="M11:W11" si="30">AVERAGE(M4:M7)</f>
        <v>10.75</v>
      </c>
      <c r="N11" s="6">
        <f t="shared" si="30"/>
        <v>0</v>
      </c>
      <c r="O11" s="6">
        <f t="shared" si="30"/>
        <v>3</v>
      </c>
      <c r="P11" s="6">
        <f t="shared" si="30"/>
        <v>202</v>
      </c>
      <c r="Q11" s="6">
        <f t="shared" si="30"/>
        <v>216.5</v>
      </c>
      <c r="R11" s="6">
        <f t="shared" si="30"/>
        <v>179</v>
      </c>
      <c r="S11" s="6">
        <f t="shared" si="30"/>
        <v>203.5</v>
      </c>
      <c r="T11" s="6">
        <f t="shared" si="30"/>
        <v>203.75</v>
      </c>
      <c r="U11" s="6">
        <f>AVERAGE(U4:U7)</f>
        <v>227.25</v>
      </c>
      <c r="V11" s="6">
        <f t="shared" si="30"/>
        <v>179</v>
      </c>
      <c r="W11" s="6">
        <f t="shared" si="30"/>
        <v>206.5</v>
      </c>
      <c r="Y11" s="6">
        <f t="shared" ref="Y11" si="31">AVERAGE(Y4:Y7)</f>
        <v>816.5</v>
      </c>
    </row>
    <row r="12" spans="1:25" x14ac:dyDescent="0.35">
      <c r="A12" s="4" t="s">
        <v>19</v>
      </c>
      <c r="B12" s="4"/>
      <c r="C12" s="7">
        <f>SUM(C4:C7)</f>
        <v>20</v>
      </c>
      <c r="D12" s="21">
        <f t="shared" ref="D12:K12" si="32">SUM(D4:D7)</f>
        <v>162</v>
      </c>
      <c r="E12" s="21">
        <f t="shared" si="32"/>
        <v>171</v>
      </c>
      <c r="F12" s="21">
        <f t="shared" si="32"/>
        <v>143</v>
      </c>
      <c r="G12" s="21">
        <f t="shared" si="32"/>
        <v>162</v>
      </c>
      <c r="H12" s="21">
        <f t="shared" si="32"/>
        <v>3</v>
      </c>
      <c r="I12" s="21">
        <f t="shared" si="32"/>
        <v>15</v>
      </c>
      <c r="J12" s="21">
        <f t="shared" si="32"/>
        <v>0</v>
      </c>
      <c r="K12" s="21">
        <f t="shared" si="32"/>
        <v>4</v>
      </c>
      <c r="L12" s="7">
        <f>SUM(L4:L7)</f>
        <v>7</v>
      </c>
      <c r="M12" s="7">
        <f t="shared" ref="M12:W12" si="33">SUM(M4:M7)</f>
        <v>43</v>
      </c>
      <c r="N12" s="7">
        <f t="shared" si="33"/>
        <v>0</v>
      </c>
      <c r="O12" s="7">
        <f t="shared" si="33"/>
        <v>12</v>
      </c>
      <c r="P12" s="7">
        <f t="shared" si="33"/>
        <v>808</v>
      </c>
      <c r="Q12" s="7">
        <f t="shared" si="33"/>
        <v>866</v>
      </c>
      <c r="R12" s="7">
        <f t="shared" si="33"/>
        <v>716</v>
      </c>
      <c r="S12" s="7">
        <f t="shared" si="33"/>
        <v>814</v>
      </c>
      <c r="T12" s="7">
        <f t="shared" si="33"/>
        <v>815</v>
      </c>
      <c r="U12" s="7">
        <f t="shared" si="33"/>
        <v>909</v>
      </c>
      <c r="V12" s="7">
        <f t="shared" si="33"/>
        <v>716</v>
      </c>
      <c r="W12" s="7">
        <f t="shared" si="33"/>
        <v>826</v>
      </c>
      <c r="Y12" s="7">
        <f t="shared" ref="Y12" si="34">SUM(Y4:Y7)</f>
        <v>3266</v>
      </c>
    </row>
  </sheetData>
  <pageMargins left="0.7" right="0.7" top="0.75" bottom="0.75" header="0.3" footer="0.3"/>
  <pageSetup paperSize="9" orientation="portrait" r:id="rId1"/>
  <ignoredErrors>
    <ignoredError sqref="D12 D9:D11 H9:H10 H11:H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Zebiniso Isroilova</dc:creator>
  <cp:lastModifiedBy>Zebiniso Isroilova</cp:lastModifiedBy>
  <dcterms:created xsi:type="dcterms:W3CDTF">2026-08-23T11:17:37Z</dcterms:created>
  <dcterms:modified xsi:type="dcterms:W3CDTF">2026-08-29T10:11:36Z</dcterms:modified>
</cp:coreProperties>
</file>