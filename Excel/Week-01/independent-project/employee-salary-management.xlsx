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9129D5E-D25D-4F77-8532-75EDE3B74B3A}" xr6:coauthVersionLast="47" xr6:coauthVersionMax="47" xr10:uidLastSave="{00000000-0000-0000-0000-000000000000}"/>
  <bookViews>
    <workbookView xWindow="-110" yWindow="-110" windowWidth="19420" windowHeight="11500" xr2:uid="{A5963FAE-BD51-4450-9788-AEF24FD26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I23" i="1"/>
  <c r="I18" i="1"/>
  <c r="I11" i="1"/>
  <c r="D27" i="1"/>
  <c r="D26" i="1"/>
  <c r="F29" i="1"/>
  <c r="G29" i="1"/>
  <c r="H29" i="1"/>
  <c r="I29" i="1"/>
  <c r="C29" i="1"/>
  <c r="D28" i="1"/>
  <c r="E28" i="1"/>
  <c r="F28" i="1"/>
  <c r="G28" i="1"/>
  <c r="H28" i="1"/>
  <c r="I28" i="1"/>
  <c r="C28" i="1"/>
  <c r="E27" i="1"/>
  <c r="F27" i="1"/>
  <c r="G27" i="1"/>
  <c r="H27" i="1"/>
  <c r="I27" i="1"/>
  <c r="C27" i="1"/>
  <c r="E26" i="1"/>
  <c r="F26" i="1"/>
  <c r="G26" i="1"/>
  <c r="H26" i="1"/>
  <c r="I26" i="1"/>
  <c r="C26" i="1"/>
  <c r="H5" i="1"/>
  <c r="I4" i="1"/>
  <c r="I5" i="1"/>
  <c r="I6" i="1"/>
  <c r="I7" i="1"/>
  <c r="I8" i="1"/>
  <c r="I9" i="1"/>
  <c r="I10" i="1"/>
  <c r="I12" i="1"/>
  <c r="I13" i="1"/>
  <c r="I14" i="1"/>
  <c r="I15" i="1"/>
  <c r="I16" i="1"/>
  <c r="I17" i="1"/>
  <c r="I19" i="1"/>
  <c r="I20" i="1"/>
  <c r="I21" i="1"/>
  <c r="I22" i="1"/>
  <c r="H23" i="1"/>
  <c r="H22" i="1"/>
  <c r="G21" i="1"/>
  <c r="G23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</calcChain>
</file>

<file path=xl/sharedStrings.xml><?xml version="1.0" encoding="utf-8"?>
<sst xmlns="http://schemas.openxmlformats.org/spreadsheetml/2006/main" count="55" uniqueCount="55">
  <si>
    <t>Employee Monthly Payroll</t>
  </si>
  <si>
    <t>Firstname</t>
  </si>
  <si>
    <t>Lastname</t>
  </si>
  <si>
    <t>Hours Worked</t>
  </si>
  <si>
    <t>Hourly Wage</t>
  </si>
  <si>
    <t>Overtime Hours</t>
  </si>
  <si>
    <t>Bonus</t>
  </si>
  <si>
    <t>Gross Salary</t>
  </si>
  <si>
    <t>Tax</t>
  </si>
  <si>
    <t>Net Salary</t>
  </si>
  <si>
    <t>Lola</t>
  </si>
  <si>
    <t>Inomova</t>
  </si>
  <si>
    <t>Begzod</t>
  </si>
  <si>
    <t>Rustamov</t>
  </si>
  <si>
    <t>Feruza</t>
  </si>
  <si>
    <t>Asliddinova</t>
  </si>
  <si>
    <t>John</t>
  </si>
  <si>
    <t>Doe</t>
  </si>
  <si>
    <t>Peter</t>
  </si>
  <si>
    <t>Calester</t>
  </si>
  <si>
    <t>Ruslan</t>
  </si>
  <si>
    <t>Baratov</t>
  </si>
  <si>
    <t>Ibragim</t>
  </si>
  <si>
    <t>Arslanov</t>
  </si>
  <si>
    <t>Zoya</t>
  </si>
  <si>
    <t>Sergeyeva</t>
  </si>
  <si>
    <t>Zamira</t>
  </si>
  <si>
    <t>Palvanova</t>
  </si>
  <si>
    <t>Muhabbat</t>
  </si>
  <si>
    <t>Hamroyeva</t>
  </si>
  <si>
    <t>Shuhrat</t>
  </si>
  <si>
    <t>Turdiyev</t>
  </si>
  <si>
    <t>Diyor</t>
  </si>
  <si>
    <t>Rahmatov</t>
  </si>
  <si>
    <t>Bunyod</t>
  </si>
  <si>
    <t>Sharopov</t>
  </si>
  <si>
    <t>Gulchehra</t>
  </si>
  <si>
    <t>Rashidova</t>
  </si>
  <si>
    <t>Gullola</t>
  </si>
  <si>
    <t>Rihsiyeva</t>
  </si>
  <si>
    <t>Azam</t>
  </si>
  <si>
    <t>Niyozev</t>
  </si>
  <si>
    <t>Oleg</t>
  </si>
  <si>
    <t>Nikolayev</t>
  </si>
  <si>
    <t>Olga</t>
  </si>
  <si>
    <t>Grigorova</t>
  </si>
  <si>
    <t>Maksim</t>
  </si>
  <si>
    <t>Gorkiy</t>
  </si>
  <si>
    <t>Anna</t>
  </si>
  <si>
    <t>Cardi</t>
  </si>
  <si>
    <t>Tax rate</t>
  </si>
  <si>
    <t>Max</t>
  </si>
  <si>
    <t>Min</t>
  </si>
  <si>
    <t>Average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</si>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</sst>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2" fillId="0" borderId="1" xfId="0" applyFont="1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3" borderId="1" xfId="0" applyNumberFormat="1" applyFill="1" applyBorder="1"/>
    <xf numFmtId="164" fontId="0" fillId="2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0" xfId="0" applyFill="1"/>
    <xf numFmtId="10" fontId="0" fillId="7" borderId="0" xfId="0" applyNumberFormat="1" applyFill="1"/>
    <xf numFmtId="44" fontId="0" fillId="5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44CB-6B13-44F3-803C-7C9469609440}">
  <dimension ref="A1:I29"/>
  <sheetViews>
    <sheetView tabSelected="1" zoomScale="86" workbookViewId="0">
      <selection activeCell="E30" sqref="E30"/>
    </sheetView>
  </sheetViews>
  <sheetFormatPr defaultRowHeight="14.5" x14ac:dyDescent="0.35"/>
  <cols>
    <col min="1" max="1" width="11" customWidth="1"/>
    <col min="2" max="2" width="11.7265625" customWidth="1"/>
    <col min="3" max="3" width="12.453125" customWidth="1"/>
    <col min="4" max="4" width="11.26953125" customWidth="1"/>
    <col min="5" max="5" width="13.54296875" customWidth="1"/>
    <col min="6" max="6" width="12.6328125" customWidth="1"/>
    <col min="7" max="7" width="12.36328125" customWidth="1"/>
    <col min="8" max="8" width="10.6328125" customWidth="1"/>
    <col min="9" max="9" width="12.26953125" customWidth="1"/>
  </cols>
  <sheetData>
    <row r="1" spans="1:9" x14ac:dyDescent="0.35">
      <c r="A1" s="1" t="s">
        <v>0</v>
      </c>
    </row>
    <row r="3" spans="1:9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35">
      <c r="A4" s="3" t="s">
        <v>10</v>
      </c>
      <c r="B4" s="3" t="s">
        <v>11</v>
      </c>
      <c r="C4" s="3">
        <v>160</v>
      </c>
      <c r="D4" s="7">
        <v>8</v>
      </c>
      <c r="E4" s="3">
        <f>IF(C4&gt;160,C4-160,0)</f>
        <v>0</v>
      </c>
      <c r="F4" s="7">
        <f>IF(C4&gt;=180,200,0)</f>
        <v>0</v>
      </c>
      <c r="G4" s="7">
        <f>C4*D4+F4</f>
        <v>1280</v>
      </c>
      <c r="H4" s="7">
        <f>G4*$B$25</f>
        <v>153.6</v>
      </c>
      <c r="I4" s="7">
        <f>G4-H4</f>
        <v>1126.4000000000001</v>
      </c>
    </row>
    <row r="5" spans="1:9" x14ac:dyDescent="0.35">
      <c r="A5" s="3" t="s">
        <v>12</v>
      </c>
      <c r="B5" s="3" t="s">
        <v>13</v>
      </c>
      <c r="C5" s="3">
        <v>150</v>
      </c>
      <c r="D5" s="7">
        <v>8</v>
      </c>
      <c r="E5" s="3">
        <f t="shared" ref="E5:E23" si="0">IF(C5&gt;160,C5-160,0)</f>
        <v>0</v>
      </c>
      <c r="F5" s="7">
        <f t="shared" ref="F5:F23" si="1">IF(C5&gt;=180,200,0)</f>
        <v>0</v>
      </c>
      <c r="G5" s="7">
        <f t="shared" ref="G5:G22" si="2">C5*D5+F5</f>
        <v>1200</v>
      </c>
      <c r="H5" s="7">
        <f>G5*$B$25</f>
        <v>144</v>
      </c>
      <c r="I5" s="7">
        <f t="shared" ref="I5:I23" si="3">G5-H5</f>
        <v>1056</v>
      </c>
    </row>
    <row r="6" spans="1:9" x14ac:dyDescent="0.35">
      <c r="A6" s="3" t="s">
        <v>14</v>
      </c>
      <c r="B6" s="3" t="s">
        <v>15</v>
      </c>
      <c r="C6" s="3">
        <v>157</v>
      </c>
      <c r="D6" s="7">
        <v>8</v>
      </c>
      <c r="E6" s="3">
        <f t="shared" si="0"/>
        <v>0</v>
      </c>
      <c r="F6" s="7">
        <f t="shared" si="1"/>
        <v>0</v>
      </c>
      <c r="G6" s="7">
        <f t="shared" si="2"/>
        <v>1256</v>
      </c>
      <c r="H6" s="7">
        <f t="shared" ref="H6:H21" si="4">G6*$B$25</f>
        <v>150.72</v>
      </c>
      <c r="I6" s="7">
        <f t="shared" si="3"/>
        <v>1105.28</v>
      </c>
    </row>
    <row r="7" spans="1:9" x14ac:dyDescent="0.35">
      <c r="A7" s="3" t="s">
        <v>16</v>
      </c>
      <c r="B7" s="3" t="s">
        <v>17</v>
      </c>
      <c r="C7" s="3">
        <v>175</v>
      </c>
      <c r="D7" s="7">
        <v>8</v>
      </c>
      <c r="E7" s="3">
        <f t="shared" si="0"/>
        <v>15</v>
      </c>
      <c r="F7" s="7">
        <f t="shared" si="1"/>
        <v>0</v>
      </c>
      <c r="G7" s="7">
        <f t="shared" si="2"/>
        <v>1400</v>
      </c>
      <c r="H7" s="7">
        <f t="shared" si="4"/>
        <v>168</v>
      </c>
      <c r="I7" s="7">
        <f t="shared" si="3"/>
        <v>1232</v>
      </c>
    </row>
    <row r="8" spans="1:9" x14ac:dyDescent="0.35">
      <c r="A8" s="4" t="s">
        <v>18</v>
      </c>
      <c r="B8" s="4" t="s">
        <v>19</v>
      </c>
      <c r="C8" s="4">
        <v>170</v>
      </c>
      <c r="D8" s="8">
        <v>10</v>
      </c>
      <c r="E8" s="4">
        <f t="shared" si="0"/>
        <v>10</v>
      </c>
      <c r="F8" s="8">
        <f t="shared" si="1"/>
        <v>0</v>
      </c>
      <c r="G8" s="8">
        <f t="shared" si="2"/>
        <v>1700</v>
      </c>
      <c r="H8" s="8">
        <f t="shared" si="4"/>
        <v>204</v>
      </c>
      <c r="I8" s="8">
        <f t="shared" si="3"/>
        <v>1496</v>
      </c>
    </row>
    <row r="9" spans="1:9" x14ac:dyDescent="0.35">
      <c r="A9" s="4" t="s">
        <v>20</v>
      </c>
      <c r="B9" s="4" t="s">
        <v>21</v>
      </c>
      <c r="C9" s="4">
        <v>180</v>
      </c>
      <c r="D9" s="8">
        <v>10</v>
      </c>
      <c r="E9" s="4">
        <f t="shared" si="0"/>
        <v>20</v>
      </c>
      <c r="F9" s="8">
        <f t="shared" si="1"/>
        <v>200</v>
      </c>
      <c r="G9" s="8">
        <f t="shared" si="2"/>
        <v>2000</v>
      </c>
      <c r="H9" s="8">
        <f t="shared" si="4"/>
        <v>240</v>
      </c>
      <c r="I9" s="8">
        <f t="shared" si="3"/>
        <v>1760</v>
      </c>
    </row>
    <row r="10" spans="1:9" x14ac:dyDescent="0.35">
      <c r="A10" s="4" t="s">
        <v>22</v>
      </c>
      <c r="B10" s="4" t="s">
        <v>23</v>
      </c>
      <c r="C10" s="4">
        <v>168</v>
      </c>
      <c r="D10" s="8">
        <v>10</v>
      </c>
      <c r="E10" s="4">
        <f t="shared" si="0"/>
        <v>8</v>
      </c>
      <c r="F10" s="8">
        <f t="shared" si="1"/>
        <v>0</v>
      </c>
      <c r="G10" s="8">
        <f t="shared" si="2"/>
        <v>1680</v>
      </c>
      <c r="H10" s="8">
        <f t="shared" si="4"/>
        <v>201.6</v>
      </c>
      <c r="I10" s="8">
        <f t="shared" si="3"/>
        <v>1478.4</v>
      </c>
    </row>
    <row r="11" spans="1:9" x14ac:dyDescent="0.35">
      <c r="A11" s="4" t="s">
        <v>24</v>
      </c>
      <c r="B11" s="4" t="s">
        <v>25</v>
      </c>
      <c r="C11" s="4">
        <v>157</v>
      </c>
      <c r="D11" s="8">
        <v>10</v>
      </c>
      <c r="E11" s="4">
        <f t="shared" si="0"/>
        <v>0</v>
      </c>
      <c r="F11" s="8">
        <f t="shared" si="1"/>
        <v>0</v>
      </c>
      <c r="G11" s="8">
        <f t="shared" si="2"/>
        <v>1570</v>
      </c>
      <c r="H11" s="8">
        <f t="shared" si="4"/>
        <v>188.4</v>
      </c>
      <c r="I11" s="8">
        <f>G11-H11</f>
        <v>1381.6</v>
      </c>
    </row>
    <row r="12" spans="1:9" x14ac:dyDescent="0.35">
      <c r="A12" s="4" t="s">
        <v>26</v>
      </c>
      <c r="B12" s="4" t="s">
        <v>27</v>
      </c>
      <c r="C12" s="4">
        <v>168</v>
      </c>
      <c r="D12" s="8">
        <v>10</v>
      </c>
      <c r="E12" s="4">
        <f t="shared" si="0"/>
        <v>8</v>
      </c>
      <c r="F12" s="8">
        <f t="shared" si="1"/>
        <v>0</v>
      </c>
      <c r="G12" s="8">
        <f t="shared" si="2"/>
        <v>1680</v>
      </c>
      <c r="H12" s="8">
        <f t="shared" si="4"/>
        <v>201.6</v>
      </c>
      <c r="I12" s="8">
        <f t="shared" si="3"/>
        <v>1478.4</v>
      </c>
    </row>
    <row r="13" spans="1:9" x14ac:dyDescent="0.35">
      <c r="A13" s="5" t="s">
        <v>28</v>
      </c>
      <c r="B13" s="5" t="s">
        <v>29</v>
      </c>
      <c r="C13" s="5">
        <v>158</v>
      </c>
      <c r="D13" s="9">
        <v>9</v>
      </c>
      <c r="E13" s="5">
        <f t="shared" si="0"/>
        <v>0</v>
      </c>
      <c r="F13" s="9">
        <f t="shared" si="1"/>
        <v>0</v>
      </c>
      <c r="G13" s="9">
        <f t="shared" si="2"/>
        <v>1422</v>
      </c>
      <c r="H13" s="9">
        <f t="shared" si="4"/>
        <v>170.64</v>
      </c>
      <c r="I13" s="9">
        <f t="shared" si="3"/>
        <v>1251.3600000000001</v>
      </c>
    </row>
    <row r="14" spans="1:9" x14ac:dyDescent="0.35">
      <c r="A14" s="5" t="s">
        <v>30</v>
      </c>
      <c r="B14" s="5" t="s">
        <v>31</v>
      </c>
      <c r="C14" s="5">
        <v>179</v>
      </c>
      <c r="D14" s="9">
        <v>9</v>
      </c>
      <c r="E14" s="5">
        <f t="shared" si="0"/>
        <v>19</v>
      </c>
      <c r="F14" s="9">
        <f t="shared" si="1"/>
        <v>0</v>
      </c>
      <c r="G14" s="9">
        <f t="shared" si="2"/>
        <v>1611</v>
      </c>
      <c r="H14" s="9">
        <f t="shared" si="4"/>
        <v>193.32</v>
      </c>
      <c r="I14" s="9">
        <f t="shared" si="3"/>
        <v>1417.68</v>
      </c>
    </row>
    <row r="15" spans="1:9" x14ac:dyDescent="0.35">
      <c r="A15" s="5" t="s">
        <v>32</v>
      </c>
      <c r="B15" s="5" t="s">
        <v>33</v>
      </c>
      <c r="C15" s="5">
        <v>180</v>
      </c>
      <c r="D15" s="9">
        <v>9</v>
      </c>
      <c r="E15" s="5">
        <f t="shared" si="0"/>
        <v>20</v>
      </c>
      <c r="F15" s="9">
        <f t="shared" si="1"/>
        <v>200</v>
      </c>
      <c r="G15" s="9">
        <f t="shared" si="2"/>
        <v>1820</v>
      </c>
      <c r="H15" s="9">
        <f t="shared" si="4"/>
        <v>218.4</v>
      </c>
      <c r="I15" s="9">
        <f t="shared" si="3"/>
        <v>1601.6</v>
      </c>
    </row>
    <row r="16" spans="1:9" x14ac:dyDescent="0.35">
      <c r="A16" s="5" t="s">
        <v>34</v>
      </c>
      <c r="B16" s="5" t="s">
        <v>35</v>
      </c>
      <c r="C16" s="5">
        <v>162</v>
      </c>
      <c r="D16" s="9">
        <v>9</v>
      </c>
      <c r="E16" s="5">
        <f t="shared" si="0"/>
        <v>2</v>
      </c>
      <c r="F16" s="9">
        <f t="shared" si="1"/>
        <v>0</v>
      </c>
      <c r="G16" s="9">
        <f t="shared" si="2"/>
        <v>1458</v>
      </c>
      <c r="H16" s="9">
        <f t="shared" si="4"/>
        <v>174.95999999999998</v>
      </c>
      <c r="I16" s="9">
        <f t="shared" si="3"/>
        <v>1283.04</v>
      </c>
    </row>
    <row r="17" spans="1:9" x14ac:dyDescent="0.35">
      <c r="A17" s="5" t="s">
        <v>36</v>
      </c>
      <c r="B17" s="5" t="s">
        <v>37</v>
      </c>
      <c r="C17" s="5">
        <v>165</v>
      </c>
      <c r="D17" s="9">
        <v>9</v>
      </c>
      <c r="E17" s="5">
        <f t="shared" si="0"/>
        <v>5</v>
      </c>
      <c r="F17" s="9">
        <f t="shared" si="1"/>
        <v>0</v>
      </c>
      <c r="G17" s="9">
        <f t="shared" si="2"/>
        <v>1485</v>
      </c>
      <c r="H17" s="9">
        <f t="shared" si="4"/>
        <v>178.2</v>
      </c>
      <c r="I17" s="9">
        <f t="shared" si="3"/>
        <v>1306.8</v>
      </c>
    </row>
    <row r="18" spans="1:9" x14ac:dyDescent="0.35">
      <c r="A18" s="5" t="s">
        <v>38</v>
      </c>
      <c r="B18" s="5" t="s">
        <v>39</v>
      </c>
      <c r="C18" s="5">
        <v>163</v>
      </c>
      <c r="D18" s="9">
        <v>9</v>
      </c>
      <c r="E18" s="5">
        <f t="shared" si="0"/>
        <v>3</v>
      </c>
      <c r="F18" s="9">
        <f t="shared" si="1"/>
        <v>0</v>
      </c>
      <c r="G18" s="9">
        <f t="shared" si="2"/>
        <v>1467</v>
      </c>
      <c r="H18" s="9">
        <f t="shared" si="4"/>
        <v>176.04</v>
      </c>
      <c r="I18" s="9">
        <f>G18-H18</f>
        <v>1290.96</v>
      </c>
    </row>
    <row r="19" spans="1:9" x14ac:dyDescent="0.35">
      <c r="A19" s="11" t="s">
        <v>40</v>
      </c>
      <c r="B19" s="11" t="s">
        <v>41</v>
      </c>
      <c r="C19" s="11">
        <v>169</v>
      </c>
      <c r="D19" s="12">
        <v>7.5</v>
      </c>
      <c r="E19" s="11">
        <f t="shared" si="0"/>
        <v>9</v>
      </c>
      <c r="F19" s="12">
        <f t="shared" si="1"/>
        <v>0</v>
      </c>
      <c r="G19" s="12">
        <f t="shared" si="2"/>
        <v>1267.5</v>
      </c>
      <c r="H19" s="12">
        <f t="shared" si="4"/>
        <v>152.1</v>
      </c>
      <c r="I19" s="12">
        <f t="shared" si="3"/>
        <v>1115.4000000000001</v>
      </c>
    </row>
    <row r="20" spans="1:9" x14ac:dyDescent="0.35">
      <c r="A20" s="11" t="s">
        <v>42</v>
      </c>
      <c r="B20" s="11" t="s">
        <v>43</v>
      </c>
      <c r="C20" s="11">
        <v>175</v>
      </c>
      <c r="D20" s="12">
        <v>7.5</v>
      </c>
      <c r="E20" s="11">
        <f t="shared" si="0"/>
        <v>15</v>
      </c>
      <c r="F20" s="12">
        <f t="shared" si="1"/>
        <v>0</v>
      </c>
      <c r="G20" s="12">
        <f t="shared" si="2"/>
        <v>1312.5</v>
      </c>
      <c r="H20" s="12">
        <f t="shared" si="4"/>
        <v>157.5</v>
      </c>
      <c r="I20" s="12">
        <f t="shared" si="3"/>
        <v>1155</v>
      </c>
    </row>
    <row r="21" spans="1:9" x14ac:dyDescent="0.35">
      <c r="A21" s="11" t="s">
        <v>44</v>
      </c>
      <c r="B21" s="11" t="s">
        <v>45</v>
      </c>
      <c r="C21" s="11">
        <v>182</v>
      </c>
      <c r="D21" s="12">
        <v>7.5</v>
      </c>
      <c r="E21" s="11">
        <f t="shared" si="0"/>
        <v>22</v>
      </c>
      <c r="F21" s="12">
        <f t="shared" si="1"/>
        <v>200</v>
      </c>
      <c r="G21" s="12">
        <f>C21*D21+F21</f>
        <v>1565</v>
      </c>
      <c r="H21" s="12">
        <f t="shared" si="4"/>
        <v>187.79999999999998</v>
      </c>
      <c r="I21" s="12">
        <f t="shared" si="3"/>
        <v>1377.2</v>
      </c>
    </row>
    <row r="22" spans="1:9" x14ac:dyDescent="0.35">
      <c r="A22" s="11" t="s">
        <v>46</v>
      </c>
      <c r="B22" s="11" t="s">
        <v>47</v>
      </c>
      <c r="C22" s="11">
        <v>181</v>
      </c>
      <c r="D22" s="12">
        <v>7.5</v>
      </c>
      <c r="E22" s="11">
        <f t="shared" si="0"/>
        <v>21</v>
      </c>
      <c r="F22" s="12">
        <f t="shared" si="1"/>
        <v>200</v>
      </c>
      <c r="G22" s="12">
        <f t="shared" si="2"/>
        <v>1557.5</v>
      </c>
      <c r="H22" s="12">
        <f>G22*$B$25</f>
        <v>186.9</v>
      </c>
      <c r="I22" s="12">
        <f t="shared" si="3"/>
        <v>1370.6</v>
      </c>
    </row>
    <row r="23" spans="1:9" x14ac:dyDescent="0.35">
      <c r="A23" s="11" t="s">
        <v>48</v>
      </c>
      <c r="B23" s="11" t="s">
        <v>49</v>
      </c>
      <c r="C23" s="11">
        <v>190</v>
      </c>
      <c r="D23" s="12">
        <v>7.5</v>
      </c>
      <c r="E23" s="11">
        <f t="shared" si="0"/>
        <v>30</v>
      </c>
      <c r="F23" s="12">
        <f t="shared" si="1"/>
        <v>200</v>
      </c>
      <c r="G23" s="12">
        <f>C23*D23+F23</f>
        <v>1625</v>
      </c>
      <c r="H23" s="12">
        <f>G23*$B$25</f>
        <v>195</v>
      </c>
      <c r="I23" s="12">
        <f>G23-H23</f>
        <v>1430</v>
      </c>
    </row>
    <row r="25" spans="1:9" x14ac:dyDescent="0.35">
      <c r="A25" s="13" t="s">
        <v>50</v>
      </c>
      <c r="B25" s="14">
        <v>0.12</v>
      </c>
    </row>
    <row r="26" spans="1:9" x14ac:dyDescent="0.35">
      <c r="A26" s="6" t="s">
        <v>51</v>
      </c>
      <c r="B26" s="6"/>
      <c r="C26" s="6">
        <f>MAX(C4:C23)</f>
        <v>190</v>
      </c>
      <c r="D26" s="10">
        <f>MAX(D4:D23)</f>
        <v>10</v>
      </c>
      <c r="E26" s="6">
        <f t="shared" ref="E26:I26" si="5">MAX(E4:E23)</f>
        <v>30</v>
      </c>
      <c r="F26" s="15">
        <f t="shared" si="5"/>
        <v>200</v>
      </c>
      <c r="G26" s="15">
        <f t="shared" si="5"/>
        <v>2000</v>
      </c>
      <c r="H26" s="15">
        <f t="shared" si="5"/>
        <v>240</v>
      </c>
      <c r="I26" s="15">
        <f t="shared" si="5"/>
        <v>1760</v>
      </c>
    </row>
    <row r="27" spans="1:9" x14ac:dyDescent="0.35">
      <c r="A27" s="6" t="s">
        <v>52</v>
      </c>
      <c r="B27" s="6"/>
      <c r="C27" s="6">
        <f>MIN(C4:C23)</f>
        <v>150</v>
      </c>
      <c r="D27" s="10">
        <f>MIN(D4:D23)</f>
        <v>7.5</v>
      </c>
      <c r="E27" s="6">
        <f t="shared" ref="E27:I27" si="6">MIN(E4:E23)</f>
        <v>0</v>
      </c>
      <c r="F27" s="15">
        <f t="shared" si="6"/>
        <v>0</v>
      </c>
      <c r="G27" s="15">
        <f t="shared" si="6"/>
        <v>1200</v>
      </c>
      <c r="H27" s="15">
        <f t="shared" si="6"/>
        <v>144</v>
      </c>
      <c r="I27" s="15">
        <f t="shared" si="6"/>
        <v>1056</v>
      </c>
    </row>
    <row r="28" spans="1:9" x14ac:dyDescent="0.35">
      <c r="A28" s="6" t="s">
        <v>53</v>
      </c>
      <c r="B28" s="6"/>
      <c r="C28" s="6">
        <f>AVERAGE(C4:C23)</f>
        <v>169.45</v>
      </c>
      <c r="D28" s="10">
        <f t="shared" ref="D28:I28" si="7">AVERAGE(D4:D23)</f>
        <v>8.6750000000000007</v>
      </c>
      <c r="E28" s="6">
        <f t="shared" si="7"/>
        <v>10.35</v>
      </c>
      <c r="F28" s="15">
        <f t="shared" si="7"/>
        <v>50</v>
      </c>
      <c r="G28" s="15">
        <f t="shared" si="7"/>
        <v>1517.825</v>
      </c>
      <c r="H28" s="15">
        <f t="shared" si="7"/>
        <v>182.13899999999998</v>
      </c>
      <c r="I28" s="15">
        <f t="shared" si="7"/>
        <v>1335.6860000000001</v>
      </c>
    </row>
    <row r="29" spans="1:9" x14ac:dyDescent="0.35">
      <c r="A29" s="6" t="s">
        <v>54</v>
      </c>
      <c r="B29" s="6"/>
      <c r="C29" s="6">
        <f>SUM(C4:C23)</f>
        <v>3389</v>
      </c>
      <c r="D29" s="10"/>
      <c r="E29" s="6">
        <f>SUM(E4:E23)</f>
        <v>207</v>
      </c>
      <c r="F29" s="15">
        <f t="shared" ref="D29:I29" si="8">SUM(F4:F23)</f>
        <v>1000</v>
      </c>
      <c r="G29" s="15">
        <f t="shared" si="8"/>
        <v>30356.5</v>
      </c>
      <c r="H29" s="15">
        <f t="shared" si="8"/>
        <v>3642.7799999999997</v>
      </c>
      <c r="I29" s="15">
        <f t="shared" si="8"/>
        <v>26713.72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Zebiniso Isroilova</dc:creator>
  <cp:lastModifiedBy>Zebiniso Isroilova</cp:lastModifiedBy>
  <dcterms:created xsi:type="dcterms:W3CDTF">2026-08-29T12:21:55Z</dcterms:created>
  <dcterms:modified xsi:type="dcterms:W3CDTF">2026-09-03T11:00:49Z</dcterms:modified>
</cp:coreProperties>
</file>