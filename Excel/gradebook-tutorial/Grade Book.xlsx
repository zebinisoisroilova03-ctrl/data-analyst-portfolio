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300E305-1E2E-4ACB-A44C-F79781CB643E}" xr6:coauthVersionLast="47" xr6:coauthVersionMax="47" xr10:uidLastSave="{00000000-0000-0000-0000-000000000000}"/>
  <bookViews>
    <workbookView xWindow="-110" yWindow="-110" windowWidth="19420" windowHeight="11500" xr2:uid="{27C4201A-FDE8-4F83-AE65-874070795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D20" i="1"/>
  <c r="E20" i="1"/>
  <c r="F20" i="1"/>
  <c r="D21" i="1"/>
  <c r="E21" i="1"/>
  <c r="F21" i="1"/>
  <c r="D22" i="1"/>
  <c r="E22" i="1"/>
  <c r="F22" i="1"/>
  <c r="C22" i="1"/>
  <c r="C20" i="1"/>
  <c r="C21" i="1"/>
  <c r="L13" i="1"/>
  <c r="L14" i="1"/>
  <c r="L15" i="1"/>
  <c r="L16" i="1"/>
  <c r="J9" i="1"/>
  <c r="J4" i="1"/>
  <c r="I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K9" i="1"/>
  <c r="I10" i="1"/>
  <c r="J10" i="1"/>
  <c r="K10" i="1"/>
  <c r="I11" i="1"/>
  <c r="J11" i="1"/>
  <c r="K11" i="1"/>
  <c r="I12" i="1"/>
  <c r="L12" i="1" s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L17" i="1" s="1"/>
  <c r="I18" i="1"/>
  <c r="J18" i="1"/>
  <c r="K18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L5" i="1" l="1"/>
  <c r="L4" i="1"/>
  <c r="L11" i="1"/>
  <c r="L18" i="1"/>
  <c r="L10" i="1"/>
  <c r="L9" i="1"/>
  <c r="L8" i="1"/>
  <c r="L7" i="1"/>
  <c r="L6" i="1"/>
</calcChain>
</file>

<file path=xl/sharedStrings.xml><?xml version="1.0" encoding="utf-8"?>
<sst xmlns="http://schemas.openxmlformats.org/spreadsheetml/2006/main" count="46" uniqueCount="42">
  <si>
    <t>Gradebook</t>
  </si>
  <si>
    <t>First Name</t>
  </si>
  <si>
    <t>Last Name</t>
  </si>
  <si>
    <t>Lola</t>
  </si>
  <si>
    <t>Inomova</t>
  </si>
  <si>
    <t>Begzod</t>
  </si>
  <si>
    <t>Rustamov</t>
  </si>
  <si>
    <t>Feruza</t>
  </si>
  <si>
    <t>Asliddinova</t>
  </si>
  <si>
    <t>John</t>
  </si>
  <si>
    <t>Doe</t>
  </si>
  <si>
    <t>Peter</t>
  </si>
  <si>
    <t>Calester</t>
  </si>
  <si>
    <t>Ruslan</t>
  </si>
  <si>
    <t>Baratov</t>
  </si>
  <si>
    <t>Ibragim</t>
  </si>
  <si>
    <t>Arslanov</t>
  </si>
  <si>
    <t>Zoya</t>
  </si>
  <si>
    <t>Sergeyeva</t>
  </si>
  <si>
    <t>Zamira</t>
  </si>
  <si>
    <t>Palvanova</t>
  </si>
  <si>
    <t>Muhabbat</t>
  </si>
  <si>
    <t>Hamroyeva</t>
  </si>
  <si>
    <t>Shuhrat</t>
  </si>
  <si>
    <t>Turdiyev</t>
  </si>
  <si>
    <t>Diyor</t>
  </si>
  <si>
    <t>Rahmatov</t>
  </si>
  <si>
    <t>Bunyod</t>
  </si>
  <si>
    <t>Sharopov</t>
  </si>
  <si>
    <t>Gulchehra</t>
  </si>
  <si>
    <t>Rashidova</t>
  </si>
  <si>
    <t>Gullola</t>
  </si>
  <si>
    <t>Rihsiyeva</t>
  </si>
  <si>
    <t>Safety test</t>
  </si>
  <si>
    <t>Financial skills test</t>
  </si>
  <si>
    <t>Drug test</t>
  </si>
  <si>
    <t>Company philosophy test</t>
  </si>
  <si>
    <t>Points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</si>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</sst>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layout>
        <c:manualLayout>
          <c:xMode val="edge"/>
          <c:yMode val="edge"/>
          <c:x val="0.4340901137357829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</c:f>
              <c:strCache>
                <c:ptCount val="15"/>
                <c:pt idx="0">
                  <c:v>Lola</c:v>
                </c:pt>
                <c:pt idx="1">
                  <c:v>Begzod</c:v>
                </c:pt>
                <c:pt idx="2">
                  <c:v>Feruza</c:v>
                </c:pt>
                <c:pt idx="3">
                  <c:v>John</c:v>
                </c:pt>
                <c:pt idx="4">
                  <c:v>Peter</c:v>
                </c:pt>
                <c:pt idx="5">
                  <c:v>Ruslan</c:v>
                </c:pt>
                <c:pt idx="6">
                  <c:v>Ibragim</c:v>
                </c:pt>
                <c:pt idx="7">
                  <c:v>Zoya</c:v>
                </c:pt>
                <c:pt idx="8">
                  <c:v>Zamira</c:v>
                </c:pt>
                <c:pt idx="9">
                  <c:v>Muhabbat</c:v>
                </c:pt>
                <c:pt idx="10">
                  <c:v>Shuhrat</c:v>
                </c:pt>
                <c:pt idx="11">
                  <c:v>Diyor</c:v>
                </c:pt>
                <c:pt idx="12">
                  <c:v>Bunyod</c:v>
                </c:pt>
                <c:pt idx="13">
                  <c:v>Gulchehra</c:v>
                </c:pt>
                <c:pt idx="14">
                  <c:v>Gullola</c:v>
                </c:pt>
              </c:strCache>
            </c:strRef>
          </c:cat>
          <c:val>
            <c:numRef>
              <c:f>Sheet1!$C$4:$C$18</c:f>
              <c:numCache>
                <c:formatCode>General</c:formatCode>
                <c:ptCount val="1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9-476A-9C91-24EF1CF1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860559"/>
        <c:axId val="1938950319"/>
      </c:barChart>
      <c:catAx>
        <c:axId val="185886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8950319"/>
        <c:crosses val="autoZero"/>
        <c:auto val="1"/>
        <c:lblAlgn val="ctr"/>
        <c:lblOffset val="100"/>
        <c:noMultiLvlLbl val="0"/>
      </c:catAx>
      <c:valAx>
        <c:axId val="19389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886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phylosophy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</c:f>
              <c:strCache>
                <c:ptCount val="15"/>
                <c:pt idx="0">
                  <c:v>Lola</c:v>
                </c:pt>
                <c:pt idx="1">
                  <c:v>Begzod</c:v>
                </c:pt>
                <c:pt idx="2">
                  <c:v>Feruza</c:v>
                </c:pt>
                <c:pt idx="3">
                  <c:v>John</c:v>
                </c:pt>
                <c:pt idx="4">
                  <c:v>Peter</c:v>
                </c:pt>
                <c:pt idx="5">
                  <c:v>Ruslan</c:v>
                </c:pt>
                <c:pt idx="6">
                  <c:v>Ibragim</c:v>
                </c:pt>
                <c:pt idx="7">
                  <c:v>Zoya</c:v>
                </c:pt>
                <c:pt idx="8">
                  <c:v>Zamira</c:v>
                </c:pt>
                <c:pt idx="9">
                  <c:v>Muhabbat</c:v>
                </c:pt>
                <c:pt idx="10">
                  <c:v>Shuhrat</c:v>
                </c:pt>
                <c:pt idx="11">
                  <c:v>Diyor</c:v>
                </c:pt>
                <c:pt idx="12">
                  <c:v>Bunyod</c:v>
                </c:pt>
                <c:pt idx="13">
                  <c:v>Gulchehra</c:v>
                </c:pt>
                <c:pt idx="14">
                  <c:v>Gullola</c:v>
                </c:pt>
              </c:strCache>
            </c:strRef>
          </c:cat>
          <c:val>
            <c:numRef>
              <c:f>Sheet1!$D$4:$D$18</c:f>
              <c:numCache>
                <c:formatCode>General</c:formatCode>
                <c:ptCount val="15"/>
                <c:pt idx="0">
                  <c:v>19</c:v>
                </c:pt>
                <c:pt idx="1">
                  <c:v>18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15</c:v>
                </c:pt>
                <c:pt idx="6">
                  <c:v>19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18</c:v>
                </c:pt>
                <c:pt idx="11">
                  <c:v>17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7-4CCE-B778-5C5C8379D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480671"/>
        <c:axId val="1853919023"/>
      </c:barChart>
      <c:catAx>
        <c:axId val="12244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3919023"/>
        <c:crosses val="autoZero"/>
        <c:auto val="1"/>
        <c:lblAlgn val="ctr"/>
        <c:lblOffset val="100"/>
        <c:noMultiLvlLbl val="0"/>
      </c:catAx>
      <c:valAx>
        <c:axId val="185391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48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</c:f>
              <c:strCache>
                <c:ptCount val="15"/>
                <c:pt idx="0">
                  <c:v>Lola</c:v>
                </c:pt>
                <c:pt idx="1">
                  <c:v>Begzod</c:v>
                </c:pt>
                <c:pt idx="2">
                  <c:v>Feruza</c:v>
                </c:pt>
                <c:pt idx="3">
                  <c:v>John</c:v>
                </c:pt>
                <c:pt idx="4">
                  <c:v>Peter</c:v>
                </c:pt>
                <c:pt idx="5">
                  <c:v>Ruslan</c:v>
                </c:pt>
                <c:pt idx="6">
                  <c:v>Ibragim</c:v>
                </c:pt>
                <c:pt idx="7">
                  <c:v>Zoya</c:v>
                </c:pt>
                <c:pt idx="8">
                  <c:v>Zamira</c:v>
                </c:pt>
                <c:pt idx="9">
                  <c:v>Muhabbat</c:v>
                </c:pt>
                <c:pt idx="10">
                  <c:v>Shuhrat</c:v>
                </c:pt>
                <c:pt idx="11">
                  <c:v>Diyor</c:v>
                </c:pt>
                <c:pt idx="12">
                  <c:v>Bunyod</c:v>
                </c:pt>
                <c:pt idx="13">
                  <c:v>Gulchehra</c:v>
                </c:pt>
                <c:pt idx="14">
                  <c:v>Gullola</c:v>
                </c:pt>
              </c:strCache>
            </c:strRef>
          </c:cat>
          <c:val>
            <c:numRef>
              <c:f>Sheet1!$E$4:$E$18</c:f>
              <c:numCache>
                <c:formatCode>General</c:formatCode>
                <c:ptCount val="1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98</c:v>
                </c:pt>
                <c:pt idx="4">
                  <c:v>99</c:v>
                </c:pt>
                <c:pt idx="5">
                  <c:v>97</c:v>
                </c:pt>
                <c:pt idx="6">
                  <c:v>89</c:v>
                </c:pt>
                <c:pt idx="7">
                  <c:v>85</c:v>
                </c:pt>
                <c:pt idx="8">
                  <c:v>100</c:v>
                </c:pt>
                <c:pt idx="9">
                  <c:v>100</c:v>
                </c:pt>
                <c:pt idx="10">
                  <c:v>99</c:v>
                </c:pt>
                <c:pt idx="11">
                  <c:v>98</c:v>
                </c:pt>
                <c:pt idx="12">
                  <c:v>98</c:v>
                </c:pt>
                <c:pt idx="13">
                  <c:v>97</c:v>
                </c:pt>
                <c:pt idx="1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F-4F0D-A0E0-DA996EF8C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440383"/>
        <c:axId val="1938972879"/>
      </c:barChart>
      <c:catAx>
        <c:axId val="125644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8972879"/>
        <c:crosses val="autoZero"/>
        <c:auto val="1"/>
        <c:lblAlgn val="ctr"/>
        <c:lblOffset val="100"/>
        <c:noMultiLvlLbl val="0"/>
      </c:catAx>
      <c:valAx>
        <c:axId val="193897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644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Drug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</c:f>
              <c:strCache>
                <c:ptCount val="15"/>
                <c:pt idx="0">
                  <c:v>Lola</c:v>
                </c:pt>
                <c:pt idx="1">
                  <c:v>Begzod</c:v>
                </c:pt>
                <c:pt idx="2">
                  <c:v>Feruza</c:v>
                </c:pt>
                <c:pt idx="3">
                  <c:v>John</c:v>
                </c:pt>
                <c:pt idx="4">
                  <c:v>Peter</c:v>
                </c:pt>
                <c:pt idx="5">
                  <c:v>Ruslan</c:v>
                </c:pt>
                <c:pt idx="6">
                  <c:v>Ibragim</c:v>
                </c:pt>
                <c:pt idx="7">
                  <c:v>Zoya</c:v>
                </c:pt>
                <c:pt idx="8">
                  <c:v>Zamira</c:v>
                </c:pt>
                <c:pt idx="9">
                  <c:v>Muhabbat</c:v>
                </c:pt>
                <c:pt idx="10">
                  <c:v>Shuhrat</c:v>
                </c:pt>
                <c:pt idx="11">
                  <c:v>Diyor</c:v>
                </c:pt>
                <c:pt idx="12">
                  <c:v>Bunyod</c:v>
                </c:pt>
                <c:pt idx="13">
                  <c:v>Gulchehra</c:v>
                </c:pt>
                <c:pt idx="14">
                  <c:v>Gullola</c:v>
                </c:pt>
              </c:strCache>
            </c:strRef>
          </c:cat>
          <c:val>
            <c:numRef>
              <c:f>Sheet1!$F$4:$F$18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3-428F-9621-65DA748BE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256927"/>
        <c:axId val="1853920943"/>
      </c:barChart>
      <c:catAx>
        <c:axId val="125025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3920943"/>
        <c:crosses val="autoZero"/>
        <c:auto val="1"/>
        <c:lblAlgn val="ctr"/>
        <c:lblOffset val="100"/>
        <c:noMultiLvlLbl val="0"/>
      </c:catAx>
      <c:valAx>
        <c:axId val="185392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25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605518</xdr:colOff>
      <xdr:row>0</xdr:row>
      <xdr:rowOff>62593</xdr:rowOff>
    </xdr:from>
    <xdr:to>
      <xdr:col>20</xdr:col>
      <xdr:colOff>302532</xdr:colOff>
      <xdr:row>8</xdr:row>
      <xdr:rowOff>22679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A0DAF0-5A1A-0D93-1DCC-7BD9D3529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607332</xdr:colOff>
      <xdr:row>7</xdr:row>
      <xdr:rowOff>177800</xdr:rowOff>
    </xdr:from>
    <xdr:to>
      <xdr:col>20</xdr:col>
      <xdr:colOff>302532</xdr:colOff>
      <xdr:row>22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F18CD1-76EB-8A4C-3CD1-DFE1457B7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23132</xdr:colOff>
      <xdr:row>22</xdr:row>
      <xdr:rowOff>161472</xdr:rowOff>
    </xdr:from>
    <xdr:to>
      <xdr:col>15</xdr:col>
      <xdr:colOff>326118</xdr:colOff>
      <xdr:row>37</xdr:row>
      <xdr:rowOff>142422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C5F33F-9BBD-C533-7811-F296357D5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158750</xdr:rowOff>
    </xdr:from>
    <xdr:to>
      <xdr:col>6</xdr:col>
      <xdr:colOff>522514</xdr:colOff>
      <xdr:row>37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DE2A1A-D091-826B-E271-2894F0A7E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4F78-E199-4A47-A6C9-CE95BE75E055}">
  <dimension ref="A1:L22"/>
  <sheetViews>
    <sheetView tabSelected="1" zoomScale="70" zoomScaleNormal="70" workbookViewId="0">
      <selection activeCell="H4" sqref="H4"/>
    </sheetView>
  </sheetViews>
  <sheetFormatPr defaultRowHeight="14.5" x14ac:dyDescent="0.35"/>
  <cols>
    <col min="1" max="1" width="10.36328125" customWidth="1"/>
    <col min="2" max="2" width="12.54296875" customWidth="1"/>
  </cols>
  <sheetData>
    <row r="1" spans="1:12" ht="117" x14ac:dyDescent="0.35">
      <c r="A1" t="s">
        <v>0</v>
      </c>
      <c r="C1" s="1" t="s">
        <v>33</v>
      </c>
      <c r="D1" s="1" t="s">
        <v>36</v>
      </c>
      <c r="E1" s="1" t="s">
        <v>34</v>
      </c>
      <c r="F1" s="1" t="s">
        <v>35</v>
      </c>
      <c r="H1" s="1" t="s">
        <v>33</v>
      </c>
      <c r="I1" s="1" t="s">
        <v>36</v>
      </c>
      <c r="J1" s="1" t="s">
        <v>34</v>
      </c>
      <c r="K1" s="1" t="s">
        <v>35</v>
      </c>
      <c r="L1" s="1" t="s">
        <v>38</v>
      </c>
    </row>
    <row r="2" spans="1:12" x14ac:dyDescent="0.35">
      <c r="B2" t="s">
        <v>37</v>
      </c>
      <c r="C2">
        <v>10</v>
      </c>
      <c r="D2">
        <v>20</v>
      </c>
      <c r="E2">
        <v>100</v>
      </c>
      <c r="F2">
        <v>1</v>
      </c>
    </row>
    <row r="3" spans="1:12" x14ac:dyDescent="0.35">
      <c r="A3" t="s">
        <v>1</v>
      </c>
      <c r="B3" t="s">
        <v>2</v>
      </c>
    </row>
    <row r="4" spans="1:12" x14ac:dyDescent="0.35">
      <c r="A4" t="s">
        <v>3</v>
      </c>
      <c r="B4" t="s">
        <v>4</v>
      </c>
      <c r="C4">
        <v>10</v>
      </c>
      <c r="D4">
        <v>19</v>
      </c>
      <c r="E4">
        <v>100</v>
      </c>
      <c r="F4">
        <v>1</v>
      </c>
      <c r="H4" s="2">
        <f>C4/C$2</f>
        <v>1</v>
      </c>
      <c r="I4" s="2">
        <f>D4/D$2</f>
        <v>0.95</v>
      </c>
      <c r="J4" s="2">
        <f>E4/E$2</f>
        <v>1</v>
      </c>
      <c r="K4" s="2">
        <f t="shared" ref="I4:K18" si="0">F4/F$2</f>
        <v>1</v>
      </c>
      <c r="L4" s="2" t="b">
        <f>OR(H4&lt;0.5,I4&lt;0.5,J4&lt;0.5,K4&lt;0.5)</f>
        <v>0</v>
      </c>
    </row>
    <row r="5" spans="1:12" x14ac:dyDescent="0.35">
      <c r="A5" t="s">
        <v>5</v>
      </c>
      <c r="B5" t="s">
        <v>6</v>
      </c>
      <c r="C5">
        <v>9</v>
      </c>
      <c r="D5">
        <v>18</v>
      </c>
      <c r="E5">
        <v>99</v>
      </c>
      <c r="F5">
        <v>1</v>
      </c>
      <c r="H5" s="2">
        <f t="shared" ref="H5:H18" si="1">C5/C$2</f>
        <v>0.9</v>
      </c>
      <c r="I5" s="2">
        <f t="shared" si="0"/>
        <v>0.9</v>
      </c>
      <c r="J5" s="2">
        <f t="shared" si="0"/>
        <v>0.99</v>
      </c>
      <c r="K5" s="2">
        <f t="shared" si="0"/>
        <v>1</v>
      </c>
      <c r="L5" s="2" t="b">
        <f t="shared" ref="L5:L18" si="2">OR(H5&lt;0.5,I5&lt;0.5,J5&lt;0.5,K5&lt;0.5)</f>
        <v>0</v>
      </c>
    </row>
    <row r="6" spans="1:12" x14ac:dyDescent="0.35">
      <c r="A6" t="s">
        <v>7</v>
      </c>
      <c r="B6" t="s">
        <v>8</v>
      </c>
      <c r="C6">
        <v>8</v>
      </c>
      <c r="D6">
        <v>20</v>
      </c>
      <c r="E6">
        <v>98</v>
      </c>
      <c r="F6">
        <v>1</v>
      </c>
      <c r="H6" s="2">
        <f t="shared" si="1"/>
        <v>0.8</v>
      </c>
      <c r="I6" s="2">
        <f t="shared" si="0"/>
        <v>1</v>
      </c>
      <c r="J6" s="2">
        <f t="shared" si="0"/>
        <v>0.98</v>
      </c>
      <c r="K6" s="2">
        <f t="shared" si="0"/>
        <v>1</v>
      </c>
      <c r="L6" s="2" t="b">
        <f t="shared" si="2"/>
        <v>0</v>
      </c>
    </row>
    <row r="7" spans="1:12" x14ac:dyDescent="0.35">
      <c r="A7" t="s">
        <v>9</v>
      </c>
      <c r="B7" t="s">
        <v>10</v>
      </c>
      <c r="C7">
        <v>9</v>
      </c>
      <c r="D7">
        <v>20</v>
      </c>
      <c r="E7">
        <v>98</v>
      </c>
      <c r="F7">
        <v>1</v>
      </c>
      <c r="H7" s="2">
        <f t="shared" si="1"/>
        <v>0.9</v>
      </c>
      <c r="I7" s="2">
        <f t="shared" si="0"/>
        <v>1</v>
      </c>
      <c r="J7" s="2">
        <f t="shared" si="0"/>
        <v>0.98</v>
      </c>
      <c r="K7" s="2">
        <f t="shared" si="0"/>
        <v>1</v>
      </c>
      <c r="L7" s="2" t="b">
        <f t="shared" si="2"/>
        <v>0</v>
      </c>
    </row>
    <row r="8" spans="1:12" x14ac:dyDescent="0.35">
      <c r="A8" t="s">
        <v>11</v>
      </c>
      <c r="B8" t="s">
        <v>12</v>
      </c>
      <c r="C8">
        <v>6</v>
      </c>
      <c r="D8">
        <v>16</v>
      </c>
      <c r="E8">
        <v>99</v>
      </c>
      <c r="F8">
        <v>1</v>
      </c>
      <c r="H8" s="2">
        <f t="shared" si="1"/>
        <v>0.6</v>
      </c>
      <c r="I8" s="2">
        <f t="shared" si="0"/>
        <v>0.8</v>
      </c>
      <c r="J8" s="2">
        <f t="shared" si="0"/>
        <v>0.99</v>
      </c>
      <c r="K8" s="2">
        <f t="shared" si="0"/>
        <v>1</v>
      </c>
      <c r="L8" s="2" t="b">
        <f t="shared" si="2"/>
        <v>0</v>
      </c>
    </row>
    <row r="9" spans="1:12" x14ac:dyDescent="0.35">
      <c r="A9" t="s">
        <v>13</v>
      </c>
      <c r="B9" t="s">
        <v>14</v>
      </c>
      <c r="C9">
        <v>4</v>
      </c>
      <c r="D9">
        <v>15</v>
      </c>
      <c r="E9">
        <v>97</v>
      </c>
      <c r="F9">
        <v>0</v>
      </c>
      <c r="H9" s="2">
        <f t="shared" si="1"/>
        <v>0.4</v>
      </c>
      <c r="I9" s="2">
        <f t="shared" si="0"/>
        <v>0.75</v>
      </c>
      <c r="J9" s="2">
        <f>E9/E$2</f>
        <v>0.97</v>
      </c>
      <c r="K9" s="2">
        <f t="shared" si="0"/>
        <v>0</v>
      </c>
      <c r="L9" s="2" t="b">
        <f t="shared" si="2"/>
        <v>1</v>
      </c>
    </row>
    <row r="10" spans="1:12" x14ac:dyDescent="0.35">
      <c r="A10" t="s">
        <v>15</v>
      </c>
      <c r="B10" t="s">
        <v>16</v>
      </c>
      <c r="C10">
        <v>9</v>
      </c>
      <c r="D10">
        <v>19</v>
      </c>
      <c r="E10">
        <v>89</v>
      </c>
      <c r="F10">
        <v>1</v>
      </c>
      <c r="H10" s="2">
        <f t="shared" si="1"/>
        <v>0.9</v>
      </c>
      <c r="I10" s="2">
        <f t="shared" si="0"/>
        <v>0.95</v>
      </c>
      <c r="J10" s="2">
        <f t="shared" si="0"/>
        <v>0.89</v>
      </c>
      <c r="K10" s="2">
        <f t="shared" si="0"/>
        <v>1</v>
      </c>
      <c r="L10" s="2" t="b">
        <f t="shared" si="2"/>
        <v>0</v>
      </c>
    </row>
    <row r="11" spans="1:12" x14ac:dyDescent="0.35">
      <c r="A11" t="s">
        <v>17</v>
      </c>
      <c r="B11" t="s">
        <v>18</v>
      </c>
      <c r="C11">
        <v>8</v>
      </c>
      <c r="D11">
        <v>20</v>
      </c>
      <c r="E11">
        <v>85</v>
      </c>
      <c r="F11">
        <v>1</v>
      </c>
      <c r="H11" s="2">
        <f t="shared" si="1"/>
        <v>0.8</v>
      </c>
      <c r="I11" s="2">
        <f t="shared" si="0"/>
        <v>1</v>
      </c>
      <c r="J11" s="2">
        <f t="shared" si="0"/>
        <v>0.85</v>
      </c>
      <c r="K11" s="2">
        <f t="shared" si="0"/>
        <v>1</v>
      </c>
      <c r="L11" s="2" t="b">
        <f t="shared" si="2"/>
        <v>0</v>
      </c>
    </row>
    <row r="12" spans="1:12" x14ac:dyDescent="0.35">
      <c r="A12" t="s">
        <v>19</v>
      </c>
      <c r="B12" t="s">
        <v>20</v>
      </c>
      <c r="C12">
        <v>10</v>
      </c>
      <c r="D12">
        <v>20</v>
      </c>
      <c r="E12">
        <v>100</v>
      </c>
      <c r="F12">
        <v>1</v>
      </c>
      <c r="H12" s="2">
        <f t="shared" si="1"/>
        <v>1</v>
      </c>
      <c r="I12" s="2">
        <f t="shared" si="0"/>
        <v>1</v>
      </c>
      <c r="J12" s="2">
        <f t="shared" si="0"/>
        <v>1</v>
      </c>
      <c r="K12" s="2">
        <f t="shared" si="0"/>
        <v>1</v>
      </c>
      <c r="L12" s="2" t="b">
        <f t="shared" si="2"/>
        <v>0</v>
      </c>
    </row>
    <row r="13" spans="1:12" x14ac:dyDescent="0.35">
      <c r="A13" t="s">
        <v>21</v>
      </c>
      <c r="B13" t="s">
        <v>22</v>
      </c>
      <c r="C13">
        <v>10</v>
      </c>
      <c r="D13">
        <v>20</v>
      </c>
      <c r="E13">
        <v>100</v>
      </c>
      <c r="F13">
        <v>1</v>
      </c>
      <c r="H13" s="2">
        <f t="shared" si="1"/>
        <v>1</v>
      </c>
      <c r="I13" s="2">
        <f t="shared" si="0"/>
        <v>1</v>
      </c>
      <c r="J13" s="2">
        <f t="shared" si="0"/>
        <v>1</v>
      </c>
      <c r="K13" s="2">
        <f t="shared" si="0"/>
        <v>1</v>
      </c>
      <c r="L13" s="2" t="b">
        <f t="shared" si="2"/>
        <v>0</v>
      </c>
    </row>
    <row r="14" spans="1:12" x14ac:dyDescent="0.35">
      <c r="A14" t="s">
        <v>23</v>
      </c>
      <c r="B14" t="s">
        <v>24</v>
      </c>
      <c r="C14">
        <v>10</v>
      </c>
      <c r="D14">
        <v>18</v>
      </c>
      <c r="E14">
        <v>99</v>
      </c>
      <c r="F14">
        <v>1</v>
      </c>
      <c r="H14" s="2">
        <f t="shared" si="1"/>
        <v>1</v>
      </c>
      <c r="I14" s="2">
        <f t="shared" si="0"/>
        <v>0.9</v>
      </c>
      <c r="J14" s="2">
        <f t="shared" si="0"/>
        <v>0.99</v>
      </c>
      <c r="K14" s="2">
        <f t="shared" si="0"/>
        <v>1</v>
      </c>
      <c r="L14" s="2" t="b">
        <f t="shared" si="2"/>
        <v>0</v>
      </c>
    </row>
    <row r="15" spans="1:12" x14ac:dyDescent="0.35">
      <c r="A15" t="s">
        <v>25</v>
      </c>
      <c r="B15" t="s">
        <v>26</v>
      </c>
      <c r="C15">
        <v>9</v>
      </c>
      <c r="D15">
        <v>17</v>
      </c>
      <c r="E15">
        <v>98</v>
      </c>
      <c r="F15">
        <v>0</v>
      </c>
      <c r="H15" s="2">
        <f t="shared" si="1"/>
        <v>0.9</v>
      </c>
      <c r="I15" s="2">
        <f t="shared" si="0"/>
        <v>0.85</v>
      </c>
      <c r="J15" s="2">
        <f t="shared" si="0"/>
        <v>0.98</v>
      </c>
      <c r="K15" s="2">
        <f t="shared" si="0"/>
        <v>0</v>
      </c>
      <c r="L15" s="2" t="b">
        <f t="shared" si="2"/>
        <v>1</v>
      </c>
    </row>
    <row r="16" spans="1:12" x14ac:dyDescent="0.35">
      <c r="A16" t="s">
        <v>27</v>
      </c>
      <c r="B16" t="s">
        <v>28</v>
      </c>
      <c r="C16">
        <v>7</v>
      </c>
      <c r="D16">
        <v>20</v>
      </c>
      <c r="E16">
        <v>98</v>
      </c>
      <c r="F16">
        <v>0</v>
      </c>
      <c r="H16" s="2">
        <f t="shared" si="1"/>
        <v>0.7</v>
      </c>
      <c r="I16" s="2">
        <f t="shared" si="0"/>
        <v>1</v>
      </c>
      <c r="J16" s="2">
        <f t="shared" si="0"/>
        <v>0.98</v>
      </c>
      <c r="K16" s="2">
        <f t="shared" si="0"/>
        <v>0</v>
      </c>
      <c r="L16" s="2" t="b">
        <f t="shared" si="2"/>
        <v>1</v>
      </c>
    </row>
    <row r="17" spans="1:12" x14ac:dyDescent="0.35">
      <c r="A17" t="s">
        <v>29</v>
      </c>
      <c r="B17" t="s">
        <v>30</v>
      </c>
      <c r="C17">
        <v>8</v>
      </c>
      <c r="D17">
        <v>20</v>
      </c>
      <c r="E17">
        <v>97</v>
      </c>
      <c r="F17">
        <v>1</v>
      </c>
      <c r="H17" s="2">
        <f t="shared" si="1"/>
        <v>0.8</v>
      </c>
      <c r="I17" s="2">
        <f t="shared" si="0"/>
        <v>1</v>
      </c>
      <c r="J17" s="2">
        <f t="shared" si="0"/>
        <v>0.97</v>
      </c>
      <c r="K17" s="2">
        <f t="shared" si="0"/>
        <v>1</v>
      </c>
      <c r="L17" s="2" t="b">
        <f t="shared" si="2"/>
        <v>0</v>
      </c>
    </row>
    <row r="18" spans="1:12" x14ac:dyDescent="0.35">
      <c r="A18" t="s">
        <v>31</v>
      </c>
      <c r="B18" t="s">
        <v>32</v>
      </c>
      <c r="C18">
        <v>10</v>
      </c>
      <c r="D18">
        <v>20</v>
      </c>
      <c r="E18">
        <v>90</v>
      </c>
      <c r="F18">
        <v>1</v>
      </c>
      <c r="H18" s="2">
        <f t="shared" si="1"/>
        <v>1</v>
      </c>
      <c r="I18" s="2">
        <f t="shared" si="0"/>
        <v>1</v>
      </c>
      <c r="J18" s="2">
        <f t="shared" si="0"/>
        <v>0.9</v>
      </c>
      <c r="K18" s="2">
        <f t="shared" si="0"/>
        <v>1</v>
      </c>
      <c r="L18" s="2" t="b">
        <f t="shared" si="2"/>
        <v>0</v>
      </c>
    </row>
    <row r="20" spans="1:12" x14ac:dyDescent="0.35">
      <c r="A20" t="s">
        <v>39</v>
      </c>
      <c r="C20">
        <f>MAX(C4:C18)</f>
        <v>10</v>
      </c>
      <c r="D20">
        <f t="shared" ref="D20:F20" si="3">MAX(D4:D18)</f>
        <v>20</v>
      </c>
      <c r="E20">
        <f t="shared" si="3"/>
        <v>100</v>
      </c>
      <c r="F20">
        <f t="shared" si="3"/>
        <v>1</v>
      </c>
    </row>
    <row r="21" spans="1:12" x14ac:dyDescent="0.35">
      <c r="A21" t="s">
        <v>40</v>
      </c>
      <c r="C21">
        <f>MIN(C4:C18)</f>
        <v>4</v>
      </c>
      <c r="D21">
        <f t="shared" ref="D21:F21" si="4">MIN(D4:D18)</f>
        <v>15</v>
      </c>
      <c r="E21">
        <f t="shared" si="4"/>
        <v>85</v>
      </c>
      <c r="F21">
        <f t="shared" si="4"/>
        <v>0</v>
      </c>
    </row>
    <row r="22" spans="1:12" x14ac:dyDescent="0.35">
      <c r="A22" t="s">
        <v>41</v>
      </c>
      <c r="C22">
        <f>AVERAGE(C4:C18)</f>
        <v>8.4666666666666668</v>
      </c>
      <c r="D22">
        <f t="shared" ref="D22:F22" si="5">AVERAGE(D4:D18)</f>
        <v>18.8</v>
      </c>
      <c r="E22">
        <f t="shared" si="5"/>
        <v>96.466666666666669</v>
      </c>
      <c r="F22">
        <f t="shared" si="5"/>
        <v>0.8</v>
      </c>
    </row>
  </sheetData>
  <conditionalFormatting sqref="C4:C18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18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18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18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L18">
    <cfRule type="cellIs" dxfId="1" priority="2" operator="lessThan">
      <formula>0.5</formula>
    </cfRule>
  </conditionalFormatting>
  <conditionalFormatting sqref="L4:L18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Zebiniso Isroilova</dc:creator>
  <cp:lastModifiedBy>Zebiniso Isroilova</cp:lastModifiedBy>
  <dcterms:created xsi:type="dcterms:W3CDTF">2026-09-07T06:15:54Z</dcterms:created>
  <dcterms:modified xsi:type="dcterms:W3CDTF">2026-09-21T15:40:58Z</dcterms:modified>
</cp:coreProperties>
</file>