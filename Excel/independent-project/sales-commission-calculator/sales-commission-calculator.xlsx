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9925F9D-4C55-4F8D-B4B9-0A2C17C03544}" xr6:coauthVersionLast="47" xr6:coauthVersionMax="47" xr10:uidLastSave="{00000000-0000-0000-0000-000000000000}"/>
  <bookViews>
    <workbookView xWindow="-110" yWindow="-110" windowWidth="19420" windowHeight="11500" xr2:uid="{FF4606A1-3729-4C6C-959A-887F59F91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M2" i="1"/>
  <c r="K2" i="1"/>
  <c r="J2" i="1"/>
  <c r="I2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<sst xmlns="http://schemas.openxmlformats.org/spreadsheetml/2006/main" count="44" uniqueCount="43">
  <si>
    <t>ID</t>
  </si>
  <si>
    <t>Name</t>
  </si>
  <si>
    <t>Sales Amount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</si>
  <si>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</si>
  <si>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</si>
  <si>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</si>
  <si>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</si>
  <si>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</si>
  <si>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</si>
  <si>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</si>
  <si>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</si>
  <si>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</si>
  <si>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</si>
  <si>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</si>
  <si>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</si>
  <si>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</si>
  <si>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</si>
  <si>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</si>
  <si>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Lola Inomova</t>
  </si>
  <si>
    <t>Begzod Rustamov</t>
  </si>
  <si>
    <t>Feruza Asliddinova</t>
  </si>
  <si>
    <t>John Doe</t>
  </si>
  <si>
    <t>Peter Calester</t>
  </si>
  <si>
    <t>Ruslan Baratov</t>
  </si>
  <si>
    <t>Ibragim Arslanov</t>
  </si>
  <si>
    <t>Zoya Sergeyeva</t>
  </si>
  <si>
    <t>Zamira Palvanova</t>
  </si>
  <si>
    <t>Muhabbat Hamroyeva</t>
  </si>
  <si>
    <t>Shuhrat Turdiyev</t>
  </si>
  <si>
    <t>Diyor Rahmatov</t>
  </si>
  <si>
    <t>Bunyod Sharopov</t>
  </si>
  <si>
    <t>Gulchehra Rashidova</t>
  </si>
  <si>
    <t>Gullola Rihsiyeva</t>
  </si>
  <si>
    <t>Commission Rate</t>
  </si>
  <si>
    <t>Commission</t>
  </si>
  <si>
    <t>Bonus Threshold</t>
  </si>
  <si>
    <t>Bonus</t>
  </si>
  <si>
    <t>Total Payout</t>
  </si>
  <si>
    <t>Top performer</t>
  </si>
  <si>
    <t>Lowest</t>
  </si>
  <si>
    <t>Average</t>
  </si>
  <si>
    <t>Total Sales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</si>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</sst>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_([$$-409]* #,##0.00_);_([$$-409]* \(#,##0.00\);_([$$-409]* &quot;-&quot;??_);_(@_)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0" fontId="3" fillId="0" borderId="0" xfId="0" applyFont="1"/>
    <xf numFmtId="44" fontId="0" fillId="0" borderId="0" xfId="0" applyNumberFormat="1"/>
    <xf numFmtId="170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CF35-8B28-42C3-88EA-499A0CAD4C5C}">
  <dimension ref="A1:O16"/>
  <sheetViews>
    <sheetView tabSelected="1" topLeftCell="E1" workbookViewId="0">
      <selection activeCell="L3" sqref="L3"/>
    </sheetView>
  </sheetViews>
  <sheetFormatPr defaultRowHeight="14.5" x14ac:dyDescent="0.35"/>
  <cols>
    <col min="2" max="2" width="19" customWidth="1"/>
    <col min="3" max="3" width="12.08984375" customWidth="1"/>
    <col min="4" max="4" width="10.7265625" customWidth="1"/>
    <col min="6" max="6" width="10.7265625" customWidth="1"/>
    <col min="8" max="8" width="12" customWidth="1"/>
    <col min="9" max="10" width="10.1796875" bestFit="1" customWidth="1"/>
    <col min="11" max="11" width="11.1796875" customWidth="1"/>
    <col min="12" max="12" width="15.90625" customWidth="1"/>
    <col min="13" max="13" width="11.1796875" customWidth="1"/>
    <col min="14" max="14" width="15.453125" customWidth="1"/>
    <col min="15" max="15" width="14.54296875" customWidth="1"/>
  </cols>
  <sheetData>
    <row r="1" spans="1:15" x14ac:dyDescent="0.35">
      <c r="A1" s="3" t="s">
        <v>0</v>
      </c>
      <c r="B1" s="3" t="s">
        <v>1</v>
      </c>
      <c r="C1" s="3" t="s">
        <v>2</v>
      </c>
      <c r="D1" s="3" t="s">
        <v>34</v>
      </c>
      <c r="E1" s="3" t="s">
        <v>36</v>
      </c>
      <c r="F1" s="3" t="s">
        <v>37</v>
      </c>
      <c r="G1" s="3"/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37</v>
      </c>
      <c r="N1" s="3" t="s">
        <v>33</v>
      </c>
      <c r="O1" s="3" t="s">
        <v>35</v>
      </c>
    </row>
    <row r="2" spans="1:15" x14ac:dyDescent="0.35">
      <c r="A2" t="s">
        <v>3</v>
      </c>
      <c r="B2" t="s">
        <v>18</v>
      </c>
      <c r="C2" s="1">
        <v>6123</v>
      </c>
      <c r="D2" s="4">
        <f>C2*$N$2</f>
        <v>306.15000000000003</v>
      </c>
      <c r="E2" s="5">
        <f>IF(C2&gt;$O$2, 200, 0)</f>
        <v>200</v>
      </c>
      <c r="F2" s="4">
        <f>D2+E2</f>
        <v>506.15000000000003</v>
      </c>
      <c r="H2" s="4">
        <f>MAX(C2:C16)</f>
        <v>8000</v>
      </c>
      <c r="I2" s="4">
        <f>MIN(C2:C16)</f>
        <v>2500</v>
      </c>
      <c r="J2" s="4">
        <f>AVERAGE(C2:C16)</f>
        <v>5144.8666666666668</v>
      </c>
      <c r="K2" s="4">
        <f>SUM(C2:C16)</f>
        <v>77173</v>
      </c>
      <c r="L2" s="4">
        <f>SUM(D2:D16)</f>
        <v>3858.65</v>
      </c>
      <c r="M2" s="4">
        <f>SUM(F2:F16)</f>
        <v>5458.65</v>
      </c>
      <c r="N2" s="2">
        <v>0.05</v>
      </c>
      <c r="O2" s="1">
        <v>5000</v>
      </c>
    </row>
    <row r="3" spans="1:15" x14ac:dyDescent="0.35">
      <c r="A3" t="s">
        <v>4</v>
      </c>
      <c r="B3" t="s">
        <v>19</v>
      </c>
      <c r="C3" s="1">
        <v>3800</v>
      </c>
      <c r="D3" s="4">
        <f t="shared" ref="D3:D16" si="0">C3*$N$2</f>
        <v>190</v>
      </c>
      <c r="E3" s="5">
        <f t="shared" ref="E3:E16" si="1">IF(C3&gt;$O$2, 200, 0)</f>
        <v>0</v>
      </c>
      <c r="F3" s="4">
        <f t="shared" ref="F3:F16" si="2">D3+E3</f>
        <v>190</v>
      </c>
    </row>
    <row r="4" spans="1:15" x14ac:dyDescent="0.35">
      <c r="A4" t="s">
        <v>5</v>
      </c>
      <c r="B4" t="s">
        <v>20</v>
      </c>
      <c r="C4" s="1">
        <v>5150</v>
      </c>
      <c r="D4" s="4">
        <f t="shared" si="0"/>
        <v>257.5</v>
      </c>
      <c r="E4" s="5">
        <f t="shared" si="1"/>
        <v>200</v>
      </c>
      <c r="F4" s="4">
        <f t="shared" si="2"/>
        <v>457.5</v>
      </c>
    </row>
    <row r="5" spans="1:15" x14ac:dyDescent="0.35">
      <c r="A5" t="s">
        <v>6</v>
      </c>
      <c r="B5" t="s">
        <v>21</v>
      </c>
      <c r="C5" s="1">
        <v>2900</v>
      </c>
      <c r="D5" s="4">
        <f t="shared" si="0"/>
        <v>145</v>
      </c>
      <c r="E5" s="5">
        <f t="shared" si="1"/>
        <v>0</v>
      </c>
      <c r="F5" s="4">
        <f t="shared" si="2"/>
        <v>145</v>
      </c>
    </row>
    <row r="6" spans="1:15" x14ac:dyDescent="0.35">
      <c r="A6" t="s">
        <v>7</v>
      </c>
      <c r="B6" t="s">
        <v>22</v>
      </c>
      <c r="C6" s="1">
        <v>7400</v>
      </c>
      <c r="D6" s="4">
        <f t="shared" si="0"/>
        <v>370</v>
      </c>
      <c r="E6" s="5">
        <f t="shared" si="1"/>
        <v>200</v>
      </c>
      <c r="F6" s="4">
        <f t="shared" si="2"/>
        <v>570</v>
      </c>
    </row>
    <row r="7" spans="1:15" x14ac:dyDescent="0.35">
      <c r="A7" t="s">
        <v>8</v>
      </c>
      <c r="B7" t="s">
        <v>23</v>
      </c>
      <c r="C7" s="1">
        <v>4600</v>
      </c>
      <c r="D7" s="4">
        <f t="shared" si="0"/>
        <v>230</v>
      </c>
      <c r="E7" s="5">
        <f t="shared" si="1"/>
        <v>0</v>
      </c>
      <c r="F7" s="4">
        <f t="shared" si="2"/>
        <v>230</v>
      </c>
    </row>
    <row r="8" spans="1:15" x14ac:dyDescent="0.35">
      <c r="A8" t="s">
        <v>9</v>
      </c>
      <c r="B8" t="s">
        <v>24</v>
      </c>
      <c r="C8" s="1">
        <v>8000</v>
      </c>
      <c r="D8" s="4">
        <f t="shared" si="0"/>
        <v>400</v>
      </c>
      <c r="E8" s="5">
        <f t="shared" si="1"/>
        <v>200</v>
      </c>
      <c r="F8" s="4">
        <f t="shared" si="2"/>
        <v>600</v>
      </c>
    </row>
    <row r="9" spans="1:15" x14ac:dyDescent="0.35">
      <c r="A9" t="s">
        <v>10</v>
      </c>
      <c r="B9" t="s">
        <v>25</v>
      </c>
      <c r="C9" s="1">
        <v>3200</v>
      </c>
      <c r="D9" s="4">
        <f t="shared" si="0"/>
        <v>160</v>
      </c>
      <c r="E9" s="5">
        <f t="shared" si="1"/>
        <v>0</v>
      </c>
      <c r="F9" s="4">
        <f t="shared" si="2"/>
        <v>160</v>
      </c>
    </row>
    <row r="10" spans="1:15" x14ac:dyDescent="0.35">
      <c r="A10" t="s">
        <v>11</v>
      </c>
      <c r="B10" t="s">
        <v>26</v>
      </c>
      <c r="C10" s="1">
        <v>5900</v>
      </c>
      <c r="D10" s="4">
        <f t="shared" si="0"/>
        <v>295</v>
      </c>
      <c r="E10" s="5">
        <f t="shared" si="1"/>
        <v>200</v>
      </c>
      <c r="F10" s="4">
        <f t="shared" si="2"/>
        <v>495</v>
      </c>
    </row>
    <row r="11" spans="1:15" x14ac:dyDescent="0.35">
      <c r="A11" t="s">
        <v>12</v>
      </c>
      <c r="B11" t="s">
        <v>27</v>
      </c>
      <c r="C11" s="1">
        <v>2500</v>
      </c>
      <c r="D11" s="4">
        <f t="shared" si="0"/>
        <v>125</v>
      </c>
      <c r="E11" s="5">
        <f t="shared" si="1"/>
        <v>0</v>
      </c>
      <c r="F11" s="4">
        <f t="shared" si="2"/>
        <v>125</v>
      </c>
    </row>
    <row r="12" spans="1:15" x14ac:dyDescent="0.35">
      <c r="A12" t="s">
        <v>13</v>
      </c>
      <c r="B12" t="s">
        <v>28</v>
      </c>
      <c r="C12" s="1">
        <v>6750</v>
      </c>
      <c r="D12" s="4">
        <f t="shared" si="0"/>
        <v>337.5</v>
      </c>
      <c r="E12" s="5">
        <f t="shared" si="1"/>
        <v>200</v>
      </c>
      <c r="F12" s="4">
        <f t="shared" si="2"/>
        <v>537.5</v>
      </c>
    </row>
    <row r="13" spans="1:15" x14ac:dyDescent="0.35">
      <c r="A13" t="s">
        <v>14</v>
      </c>
      <c r="B13" t="s">
        <v>29</v>
      </c>
      <c r="C13" s="1">
        <v>4100</v>
      </c>
      <c r="D13" s="4">
        <f t="shared" si="0"/>
        <v>205</v>
      </c>
      <c r="E13" s="5">
        <f t="shared" si="1"/>
        <v>0</v>
      </c>
      <c r="F13" s="4">
        <f t="shared" si="2"/>
        <v>205</v>
      </c>
    </row>
    <row r="14" spans="1:15" x14ac:dyDescent="0.35">
      <c r="A14" t="s">
        <v>15</v>
      </c>
      <c r="B14" t="s">
        <v>30</v>
      </c>
      <c r="C14" s="1">
        <v>5300</v>
      </c>
      <c r="D14" s="4">
        <f t="shared" si="0"/>
        <v>265</v>
      </c>
      <c r="E14" s="5">
        <f t="shared" si="1"/>
        <v>200</v>
      </c>
      <c r="F14" s="4">
        <f t="shared" si="2"/>
        <v>465</v>
      </c>
    </row>
    <row r="15" spans="1:15" x14ac:dyDescent="0.35">
      <c r="A15" t="s">
        <v>16</v>
      </c>
      <c r="B15" t="s">
        <v>31</v>
      </c>
      <c r="C15" s="1">
        <v>3600</v>
      </c>
      <c r="D15" s="4">
        <f t="shared" si="0"/>
        <v>180</v>
      </c>
      <c r="E15" s="5">
        <f t="shared" si="1"/>
        <v>0</v>
      </c>
      <c r="F15" s="4">
        <f t="shared" si="2"/>
        <v>180</v>
      </c>
    </row>
    <row r="16" spans="1:15" x14ac:dyDescent="0.35">
      <c r="A16" t="s">
        <v>17</v>
      </c>
      <c r="B16" t="s">
        <v>32</v>
      </c>
      <c r="C16" s="1">
        <v>7850</v>
      </c>
      <c r="D16" s="4">
        <f t="shared" si="0"/>
        <v>392.5</v>
      </c>
      <c r="E16" s="5">
        <f t="shared" si="1"/>
        <v>200</v>
      </c>
      <c r="F16" s="4">
        <f t="shared" si="2"/>
        <v>592.5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Zebiniso Isroilova</dc:creator>
  <cp:lastModifiedBy>Zebiniso Isroilova</cp:lastModifiedBy>
  <dcterms:created xsi:type="dcterms:W3CDTF">2026-09-03T11:55:11Z</dcterms:created>
  <dcterms:modified xsi:type="dcterms:W3CDTF">2026-09-04T06:53:08Z</dcterms:modified>
</cp:coreProperties>
</file>